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o\Desktop\"/>
    </mc:Choice>
  </mc:AlternateContent>
  <bookViews>
    <workbookView xWindow="-1260" yWindow="1260" windowWidth="25605" windowHeight="15465" firstSheet="2" activeTab="3"/>
  </bookViews>
  <sheets>
    <sheet name="実験1-試験片寸法-計算用" sheetId="1" r:id="rId1"/>
    <sheet name="実験1-荷重とたわみの測定結果" sheetId="3" r:id="rId2"/>
    <sheet name="実験2-ひずみゲージ接続法の違い" sheetId="4" r:id="rId3"/>
    <sheet name="実験2-SFD図とBMD図の自動作成" sheetId="12" r:id="rId4"/>
    <sheet name="実験2-SFD図とBMD図" sheetId="6" r:id="rId5"/>
    <sheet name="実験2-ひずみゲージ接続法の違い (2)" sheetId="9" r:id="rId6"/>
    <sheet name="実験3" sheetId="5" r:id="rId7"/>
    <sheet name="実験3-SFDとBMD" sheetId="7" r:id="rId8"/>
    <sheet name="解析2" sheetId="2" r:id="rId9"/>
    <sheet name="プレゼンで発表すべき内容自動生成" sheetId="11" r:id="rId10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4" i="12" l="1"/>
  <c r="E14" i="12"/>
  <c r="H11" i="12"/>
  <c r="H10" i="12"/>
  <c r="H9" i="12"/>
  <c r="G33" i="4"/>
  <c r="G34" i="4"/>
  <c r="G32" i="4"/>
  <c r="E21" i="4"/>
  <c r="E20" i="4"/>
  <c r="E14" i="4"/>
  <c r="F14" i="4"/>
  <c r="H34" i="4"/>
  <c r="I34" i="4"/>
  <c r="H33" i="4"/>
  <c r="I33" i="4"/>
  <c r="H32" i="4"/>
  <c r="I32" i="4"/>
  <c r="G29" i="4"/>
  <c r="G28" i="4"/>
  <c r="G27" i="4"/>
  <c r="H28" i="4"/>
  <c r="I28" i="4"/>
  <c r="H29" i="4"/>
  <c r="I29" i="4"/>
  <c r="H27" i="4"/>
  <c r="I27" i="4"/>
  <c r="G24" i="4"/>
  <c r="H24" i="4"/>
  <c r="I24" i="4"/>
  <c r="H11" i="4"/>
  <c r="F39" i="4"/>
  <c r="F40" i="4"/>
  <c r="F38" i="4"/>
  <c r="D29" i="4"/>
  <c r="C29" i="4"/>
  <c r="E28" i="4"/>
  <c r="F28" i="4"/>
  <c r="E29" i="4"/>
  <c r="F29" i="4"/>
  <c r="E27" i="4"/>
  <c r="F27" i="4"/>
  <c r="C20" i="4"/>
  <c r="C21" i="4"/>
  <c r="C24" i="4"/>
  <c r="C17" i="4"/>
  <c r="C34" i="4"/>
  <c r="G40" i="4"/>
  <c r="G41" i="4"/>
  <c r="C33" i="4"/>
  <c r="G39" i="4"/>
  <c r="C32" i="4"/>
  <c r="G38" i="4"/>
  <c r="D20" i="4"/>
  <c r="D21" i="4"/>
  <c r="D24" i="4"/>
  <c r="D34" i="4"/>
  <c r="E34" i="4"/>
  <c r="D33" i="4"/>
  <c r="E33" i="4"/>
  <c r="F33" i="4"/>
  <c r="F34" i="4"/>
  <c r="D32" i="4"/>
  <c r="E32" i="4"/>
  <c r="F32" i="4"/>
  <c r="H10" i="4"/>
  <c r="C27" i="4"/>
  <c r="K25" i="1"/>
  <c r="L25" i="1"/>
  <c r="H9" i="4"/>
  <c r="D28" i="4"/>
  <c r="D27" i="4"/>
  <c r="C28" i="4"/>
  <c r="E24" i="4"/>
  <c r="F24" i="4"/>
  <c r="E17" i="4"/>
  <c r="D17" i="4"/>
  <c r="D41" i="4"/>
  <c r="E41" i="4"/>
  <c r="F41" i="4"/>
  <c r="C41" i="4"/>
  <c r="E19" i="1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49" i="3"/>
  <c r="M60" i="3"/>
  <c r="M59" i="3"/>
  <c r="M58" i="3"/>
  <c r="M57" i="3"/>
  <c r="M56" i="3"/>
  <c r="M55" i="3"/>
  <c r="N40" i="3"/>
  <c r="N38" i="3"/>
  <c r="N36" i="3"/>
  <c r="N34" i="3"/>
  <c r="S32" i="3"/>
  <c r="R32" i="3"/>
  <c r="Q32" i="3"/>
  <c r="P32" i="3"/>
  <c r="O32" i="3"/>
  <c r="N32" i="3"/>
  <c r="D19" i="1"/>
  <c r="D40" i="3"/>
  <c r="D38" i="3"/>
  <c r="D36" i="3"/>
  <c r="D34" i="3"/>
  <c r="I32" i="3"/>
  <c r="H32" i="3"/>
  <c r="G32" i="3"/>
  <c r="F32" i="3"/>
  <c r="E32" i="3"/>
  <c r="D32" i="3"/>
  <c r="E46" i="1"/>
  <c r="E47" i="1"/>
  <c r="E45" i="1"/>
  <c r="C32" i="1"/>
  <c r="D32" i="1"/>
  <c r="C40" i="1"/>
  <c r="C46" i="1"/>
  <c r="D46" i="1"/>
  <c r="L26" i="1"/>
  <c r="D33" i="1"/>
  <c r="C41" i="1"/>
  <c r="C47" i="1"/>
  <c r="D47" i="1"/>
  <c r="D45" i="1"/>
  <c r="C45" i="1"/>
  <c r="D40" i="1"/>
  <c r="D41" i="1"/>
  <c r="D39" i="1"/>
  <c r="F47" i="1"/>
  <c r="H47" i="1"/>
  <c r="J47" i="1"/>
  <c r="E40" i="1"/>
  <c r="F40" i="1"/>
  <c r="G47" i="1"/>
  <c r="I47" i="1"/>
  <c r="F46" i="1"/>
  <c r="H46" i="1"/>
  <c r="J46" i="1"/>
  <c r="K24" i="1"/>
  <c r="C31" i="1"/>
  <c r="L24" i="1"/>
  <c r="D31" i="1"/>
  <c r="C39" i="1"/>
  <c r="E39" i="1"/>
  <c r="F39" i="1"/>
  <c r="G46" i="1"/>
  <c r="I46" i="1"/>
  <c r="F45" i="1"/>
  <c r="H45" i="1"/>
  <c r="J45" i="1"/>
  <c r="G45" i="1"/>
  <c r="I45" i="1"/>
  <c r="F41" i="1"/>
  <c r="N24" i="1"/>
  <c r="N25" i="1"/>
  <c r="N26" i="1"/>
  <c r="M26" i="1"/>
  <c r="M24" i="1"/>
  <c r="M25" i="1"/>
  <c r="K26" i="1"/>
  <c r="C33" i="1"/>
  <c r="H85" i="1"/>
  <c r="J85" i="1"/>
  <c r="G85" i="1"/>
  <c r="I85" i="1"/>
  <c r="H84" i="1"/>
  <c r="J84" i="1"/>
  <c r="G84" i="1"/>
  <c r="I84" i="1"/>
  <c r="H83" i="1"/>
  <c r="J83" i="1"/>
  <c r="G83" i="1"/>
  <c r="I83" i="1"/>
  <c r="H79" i="1"/>
  <c r="J79" i="1"/>
  <c r="G79" i="1"/>
  <c r="I79" i="1"/>
  <c r="H78" i="1"/>
  <c r="J78" i="1"/>
  <c r="G78" i="1"/>
  <c r="I78" i="1"/>
  <c r="H77" i="1"/>
  <c r="J77" i="1"/>
  <c r="G77" i="1"/>
  <c r="I77" i="1"/>
  <c r="H60" i="1"/>
  <c r="J60" i="1"/>
  <c r="G60" i="1"/>
  <c r="I60" i="1"/>
  <c r="H59" i="1"/>
  <c r="J59" i="1"/>
  <c r="G59" i="1"/>
  <c r="I59" i="1"/>
  <c r="H58" i="1"/>
  <c r="J58" i="1"/>
  <c r="G58" i="1"/>
  <c r="I58" i="1"/>
  <c r="H66" i="1"/>
  <c r="J66" i="1"/>
  <c r="G66" i="1"/>
  <c r="I66" i="1"/>
  <c r="H65" i="1"/>
  <c r="J65" i="1"/>
  <c r="G65" i="1"/>
  <c r="I65" i="1"/>
  <c r="H64" i="1"/>
  <c r="J64" i="1"/>
  <c r="G64" i="1"/>
  <c r="I64" i="1"/>
  <c r="G39" i="1"/>
  <c r="H39" i="1"/>
  <c r="I39" i="1"/>
  <c r="J39" i="1"/>
  <c r="G40" i="1"/>
  <c r="H40" i="1"/>
  <c r="I40" i="1"/>
  <c r="J40" i="1"/>
  <c r="E41" i="1"/>
  <c r="G41" i="1"/>
  <c r="H41" i="1"/>
  <c r="I41" i="1"/>
  <c r="J41" i="1"/>
  <c r="H32" i="1"/>
  <c r="J32" i="1"/>
  <c r="H33" i="1"/>
  <c r="J33" i="1"/>
  <c r="H31" i="1"/>
  <c r="J31" i="1"/>
  <c r="G32" i="1"/>
  <c r="I32" i="1"/>
  <c r="G33" i="1"/>
  <c r="I33" i="1"/>
  <c r="G31" i="1"/>
  <c r="I31" i="1"/>
  <c r="D5" i="5"/>
  <c r="D4" i="5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93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4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36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8" i="7"/>
  <c r="C115" i="7"/>
  <c r="C116" i="7"/>
  <c r="C117" i="7"/>
  <c r="C118" i="7"/>
  <c r="C64" i="7"/>
  <c r="C65" i="7"/>
  <c r="C66" i="7"/>
  <c r="C67" i="7"/>
  <c r="C59" i="7"/>
  <c r="C60" i="7"/>
  <c r="C61" i="7"/>
  <c r="C62" i="7"/>
  <c r="C31" i="7"/>
  <c r="C32" i="7"/>
  <c r="C33" i="7"/>
  <c r="C34" i="7"/>
  <c r="C36" i="7"/>
  <c r="C37" i="7"/>
  <c r="C38" i="7"/>
  <c r="C39" i="7"/>
  <c r="C9" i="7"/>
  <c r="C10" i="7"/>
  <c r="C11" i="7"/>
  <c r="C12" i="7"/>
  <c r="C88" i="7"/>
  <c r="C89" i="7"/>
  <c r="C90" i="7"/>
  <c r="C91" i="7"/>
  <c r="C93" i="7"/>
  <c r="C94" i="7"/>
  <c r="C95" i="7"/>
  <c r="C96" i="7"/>
  <c r="C106" i="7"/>
  <c r="C107" i="7"/>
  <c r="C108" i="7"/>
  <c r="C109" i="7"/>
  <c r="C110" i="7"/>
  <c r="C111" i="7"/>
  <c r="C112" i="7"/>
  <c r="C113" i="7"/>
  <c r="C114" i="7"/>
  <c r="C98" i="7"/>
  <c r="C99" i="7"/>
  <c r="C100" i="7"/>
  <c r="C101" i="7"/>
  <c r="C102" i="7"/>
  <c r="C103" i="7"/>
  <c r="C104" i="7"/>
  <c r="C105" i="7"/>
  <c r="C97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68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40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A11" i="5"/>
  <c r="B12" i="5"/>
  <c r="B11" i="5"/>
  <c r="C11" i="5"/>
  <c r="D11" i="5"/>
  <c r="E11" i="5"/>
  <c r="A9" i="5"/>
  <c r="B9" i="5"/>
  <c r="C9" i="5"/>
  <c r="D9" i="5"/>
  <c r="E9" i="5"/>
  <c r="D2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D1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2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38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5" i="6"/>
</calcChain>
</file>

<file path=xl/sharedStrings.xml><?xml version="1.0" encoding="utf-8"?>
<sst xmlns="http://schemas.openxmlformats.org/spreadsheetml/2006/main" count="422" uniqueCount="174">
  <si>
    <r>
      <rPr>
        <sz val="11"/>
        <color theme="1"/>
        <rFont val="ＭＳ Ｐ明朝"/>
        <family val="1"/>
        <charset val="128"/>
      </rPr>
      <t>試験片</t>
    </r>
    <rPh sb="0" eb="2">
      <t>シケン</t>
    </rPh>
    <rPh sb="2" eb="3">
      <t>ヘン</t>
    </rPh>
    <phoneticPr fontId="1"/>
  </si>
  <si>
    <r>
      <rPr>
        <sz val="11"/>
        <color theme="1"/>
        <rFont val="ＭＳ Ｐ明朝"/>
        <family val="1"/>
        <charset val="128"/>
      </rPr>
      <t>幅</t>
    </r>
    <r>
      <rPr>
        <sz val="11"/>
        <color theme="1"/>
        <rFont val="Times New Roman"/>
        <family val="1"/>
      </rPr>
      <t>b [mm]</t>
    </r>
    <rPh sb="0" eb="1">
      <t>ハバ</t>
    </rPh>
    <phoneticPr fontId="1"/>
  </si>
  <si>
    <r>
      <rPr>
        <sz val="11"/>
        <color theme="1"/>
        <rFont val="ＭＳ Ｐ明朝"/>
        <family val="1"/>
        <charset val="128"/>
      </rPr>
      <t>厚さ</t>
    </r>
    <r>
      <rPr>
        <sz val="11"/>
        <color theme="1"/>
        <rFont val="Times New Roman"/>
        <family val="1"/>
      </rPr>
      <t>t [mm]</t>
    </r>
    <rPh sb="0" eb="1">
      <t>アツ</t>
    </rPh>
    <phoneticPr fontId="1"/>
  </si>
  <si>
    <t>レベルバー毎での要素数の表</t>
    <rPh sb="5" eb="6">
      <t>ゴト</t>
    </rPh>
    <rPh sb="8" eb="10">
      <t>ヨウソ</t>
    </rPh>
    <rPh sb="10" eb="11">
      <t>スウ</t>
    </rPh>
    <rPh sb="12" eb="13">
      <t>ヒョウ</t>
    </rPh>
    <phoneticPr fontId="1"/>
  </si>
  <si>
    <t>レベルバー</t>
  </si>
  <si>
    <t>要素数</t>
    <rPh sb="0" eb="2">
      <t>ヨウソ</t>
    </rPh>
    <rPh sb="2" eb="3">
      <t>スウ</t>
    </rPh>
    <phoneticPr fontId="1"/>
  </si>
  <si>
    <r>
      <t>最大応力σ</t>
    </r>
    <r>
      <rPr>
        <vertAlign val="subscript"/>
        <sz val="10.5"/>
        <color theme="1"/>
        <rFont val="ＭＳ Ｐ明朝"/>
        <family val="1"/>
        <charset val="128"/>
      </rPr>
      <t xml:space="preserve">max </t>
    </r>
    <r>
      <rPr>
        <sz val="10.5"/>
        <color theme="1"/>
        <rFont val="ＭＳ Ｐ明朝"/>
        <family val="1"/>
        <charset val="128"/>
      </rPr>
      <t>[GPa]</t>
    </r>
    <rPh sb="0" eb="2">
      <t>サイダイ</t>
    </rPh>
    <rPh sb="2" eb="4">
      <t>オウリョク</t>
    </rPh>
    <phoneticPr fontId="1"/>
  </si>
  <si>
    <t>応力集中係数κ</t>
    <rPh sb="0" eb="2">
      <t>オウリョク</t>
    </rPh>
    <rPh sb="2" eb="4">
      <t>シュウチュウ</t>
    </rPh>
    <rPh sb="4" eb="6">
      <t>ケイスウ</t>
    </rPh>
    <phoneticPr fontId="1"/>
  </si>
  <si>
    <t>孔径2a [m]</t>
    <rPh sb="0" eb="2">
      <t>コウケイ</t>
    </rPh>
    <phoneticPr fontId="1"/>
  </si>
  <si>
    <t>孔径比</t>
    <rPh sb="0" eb="2">
      <t>コウケイ</t>
    </rPh>
    <rPh sb="2" eb="3">
      <t>ヒ</t>
    </rPh>
    <phoneticPr fontId="1"/>
  </si>
  <si>
    <t>応力集中係数と孔径比の関係</t>
  </si>
  <si>
    <t>応力集中係数と要素数の関係</t>
  </si>
  <si>
    <t>孔径比</t>
  </si>
  <si>
    <t>ダイヤルゲージの読み</t>
  </si>
  <si>
    <r>
      <t>1</t>
    </r>
    <r>
      <rPr>
        <sz val="10.5"/>
        <color theme="1"/>
        <rFont val="ＭＳ Ｐ明朝"/>
        <family val="1"/>
        <charset val="128"/>
      </rPr>
      <t>回目</t>
    </r>
  </si>
  <si>
    <t>往路</t>
  </si>
  <si>
    <t>d</t>
  </si>
  <si>
    <t>δ</t>
  </si>
  <si>
    <t>復路</t>
  </si>
  <si>
    <r>
      <t>2</t>
    </r>
    <r>
      <rPr>
        <sz val="10.5"/>
        <color theme="1"/>
        <rFont val="ＭＳ Ｐ明朝"/>
        <family val="1"/>
        <charset val="128"/>
      </rPr>
      <t>回目</t>
    </r>
  </si>
  <si>
    <r>
      <t>3</t>
    </r>
    <r>
      <rPr>
        <sz val="10.5"/>
        <color theme="1"/>
        <rFont val="ＭＳ Ｐ明朝"/>
        <family val="1"/>
        <charset val="128"/>
      </rPr>
      <t>回目</t>
    </r>
  </si>
  <si>
    <r>
      <t>d [mm]</t>
    </r>
    <r>
      <rPr>
        <sz val="10.5"/>
        <color theme="1"/>
        <rFont val="ＭＳ Ｐ明朝"/>
        <family val="1"/>
        <charset val="128"/>
      </rPr>
      <t>とたわみ</t>
    </r>
    <r>
      <rPr>
        <sz val="10.5"/>
        <color theme="1"/>
        <rFont val="Times New Roman"/>
        <family val="1"/>
      </rPr>
      <t>δ [mm]</t>
    </r>
  </si>
  <si>
    <r>
      <t>荷重</t>
    </r>
    <r>
      <rPr>
        <sz val="10.5"/>
        <color theme="1"/>
        <rFont val="Times New Roman"/>
        <family val="1"/>
      </rPr>
      <t>P [N]</t>
    </r>
  </si>
  <si>
    <t>接続法</t>
  </si>
  <si>
    <t>平均</t>
  </si>
  <si>
    <t>理論値</t>
  </si>
  <si>
    <r>
      <t>1</t>
    </r>
    <r>
      <rPr>
        <sz val="10.5"/>
        <color theme="1"/>
        <rFont val="ＭＳ Ｐ明朝"/>
        <family val="1"/>
        <charset val="128"/>
      </rPr>
      <t>ゲージ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ＭＳ Ｐ明朝"/>
        <family val="1"/>
        <charset val="128"/>
      </rPr>
      <t>線法</t>
    </r>
  </si>
  <si>
    <r>
      <t>1</t>
    </r>
    <r>
      <rPr>
        <sz val="10.5"/>
        <color theme="1"/>
        <rFont val="ＭＳ Ｐ明朝"/>
        <family val="1"/>
        <charset val="128"/>
      </rPr>
      <t>ゲージ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ＭＳ Ｐ明朝"/>
        <family val="1"/>
        <charset val="128"/>
      </rPr>
      <t>線法</t>
    </r>
  </si>
  <si>
    <r>
      <t>ひずみ　[</t>
    </r>
    <r>
      <rPr>
        <sz val="10.5"/>
        <color theme="1"/>
        <rFont val="Times New Roman"/>
        <family val="1"/>
      </rPr>
      <t>×10</t>
    </r>
    <r>
      <rPr>
        <vertAlign val="superscript"/>
        <sz val="10.5"/>
        <color theme="1"/>
        <rFont val="Times New Roman"/>
        <family val="1"/>
      </rPr>
      <t>-6</t>
    </r>
    <r>
      <rPr>
        <sz val="10.5"/>
        <color theme="1"/>
        <rFont val="Times New Roman"/>
        <family val="1"/>
      </rPr>
      <t xml:space="preserve"> m]</t>
    </r>
  </si>
  <si>
    <r>
      <t>2</t>
    </r>
    <r>
      <rPr>
        <sz val="10.5"/>
        <color theme="1"/>
        <rFont val="ＭＳ Ｐ明朝"/>
        <family val="1"/>
        <charset val="128"/>
      </rPr>
      <t>ゲージアクティブ法(2倍値)</t>
    </r>
  </si>
  <si>
    <r>
      <t>測定位置</t>
    </r>
    <r>
      <rPr>
        <sz val="10.5"/>
        <color theme="1"/>
        <rFont val="Times New Roman"/>
        <family val="1"/>
      </rPr>
      <t>(m)</t>
    </r>
  </si>
  <si>
    <r>
      <t>たわみの測定値</t>
    </r>
    <r>
      <rPr>
        <sz val="10.5"/>
        <color theme="1"/>
        <rFont val="Times New Roman"/>
        <family val="1"/>
      </rPr>
      <t>(×10</t>
    </r>
    <r>
      <rPr>
        <vertAlign val="superscript"/>
        <sz val="10.5"/>
        <color theme="1"/>
        <rFont val="Times New Roman"/>
        <family val="1"/>
      </rPr>
      <t>-3</t>
    </r>
    <r>
      <rPr>
        <sz val="10.5"/>
        <color theme="1"/>
        <rFont val="Times New Roman"/>
        <family val="1"/>
      </rPr>
      <t>m)</t>
    </r>
  </si>
  <si>
    <r>
      <t>理論値</t>
    </r>
    <r>
      <rPr>
        <sz val="10.5"/>
        <color theme="1"/>
        <rFont val="Times New Roman"/>
        <family val="1"/>
      </rPr>
      <t>(×10</t>
    </r>
    <r>
      <rPr>
        <vertAlign val="superscript"/>
        <sz val="10.5"/>
        <color theme="1"/>
        <rFont val="Times New Roman"/>
        <family val="1"/>
      </rPr>
      <t>-3</t>
    </r>
    <r>
      <rPr>
        <sz val="10.5"/>
        <color theme="1"/>
        <rFont val="Times New Roman"/>
        <family val="1"/>
      </rPr>
      <t>m)</t>
    </r>
  </si>
  <si>
    <t>測定値</t>
    <rPh sb="0" eb="2">
      <t>ソクテイ</t>
    </rPh>
    <rPh sb="2" eb="3">
      <t>アタイ</t>
    </rPh>
    <phoneticPr fontId="1"/>
  </si>
  <si>
    <t>支点からの距離x</t>
    <rPh sb="0" eb="2">
      <t>シテン</t>
    </rPh>
    <rPh sb="5" eb="7">
      <t>キョリ</t>
    </rPh>
    <phoneticPr fontId="1"/>
  </si>
  <si>
    <t>計測種</t>
    <rPh sb="0" eb="2">
      <t>ケイソク</t>
    </rPh>
    <rPh sb="2" eb="3">
      <t>シュ</t>
    </rPh>
    <phoneticPr fontId="1"/>
  </si>
  <si>
    <t>たわみ [×10-3  m]</t>
    <phoneticPr fontId="1"/>
  </si>
  <si>
    <t>ひずみ [×10-6  m]</t>
    <phoneticPr fontId="1"/>
  </si>
  <si>
    <t xml:space="preserve">0.22 [m] </t>
    <phoneticPr fontId="1"/>
  </si>
  <si>
    <t xml:space="preserve">0.32 [m] </t>
    <phoneticPr fontId="1"/>
  </si>
  <si>
    <t xml:space="preserve">0.35 [m] </t>
    <phoneticPr fontId="1"/>
  </si>
  <si>
    <t>じ</t>
    <phoneticPr fontId="1"/>
  </si>
  <si>
    <t>s1</t>
    <phoneticPr fontId="1"/>
  </si>
  <si>
    <t>s2</t>
    <phoneticPr fontId="1"/>
  </si>
  <si>
    <t>x</t>
    <phoneticPr fontId="1"/>
  </si>
  <si>
    <t>M</t>
    <phoneticPr fontId="1"/>
  </si>
  <si>
    <t>はじめ</t>
    <phoneticPr fontId="1"/>
  </si>
  <si>
    <t>あと</t>
    <phoneticPr fontId="1"/>
  </si>
  <si>
    <t>y</t>
    <phoneticPr fontId="1"/>
  </si>
  <si>
    <t>RBの計算</t>
    <rPh sb="3" eb="5">
      <t>ケイサン</t>
    </rPh>
    <phoneticPr fontId="1"/>
  </si>
  <si>
    <t>Q</t>
    <phoneticPr fontId="1"/>
  </si>
  <si>
    <t>aaa</t>
    <phoneticPr fontId="1"/>
  </si>
  <si>
    <t>測定値</t>
    <rPh sb="0" eb="2">
      <t>ソクテイ</t>
    </rPh>
    <rPh sb="2" eb="3">
      <t>アタイ</t>
    </rPh>
    <phoneticPr fontId="1"/>
  </si>
  <si>
    <t>断面二次モーメント</t>
    <rPh sb="0" eb="2">
      <t>ダンメン</t>
    </rPh>
    <rPh sb="2" eb="4">
      <t>ニジ</t>
    </rPh>
    <phoneticPr fontId="1"/>
  </si>
  <si>
    <r>
      <rPr>
        <sz val="11"/>
        <color theme="1"/>
        <rFont val="ＭＳ Ｐ明朝"/>
        <family val="1"/>
        <charset val="128"/>
      </rPr>
      <t>試験片寸法とその誤差率</t>
    </r>
    <rPh sb="0" eb="2">
      <t>シケン</t>
    </rPh>
    <rPh sb="2" eb="3">
      <t>ヘン</t>
    </rPh>
    <rPh sb="3" eb="5">
      <t>スンポウ</t>
    </rPh>
    <rPh sb="8" eb="10">
      <t>ゴサ</t>
    </rPh>
    <rPh sb="10" eb="11">
      <t>リツ</t>
    </rPh>
    <phoneticPr fontId="1"/>
  </si>
  <si>
    <r>
      <rPr>
        <sz val="11"/>
        <color theme="1"/>
        <rFont val="ＭＳ Ｐ明朝"/>
        <family val="1"/>
        <charset val="128"/>
      </rPr>
      <t>測定値</t>
    </r>
    <rPh sb="0" eb="2">
      <t>ソクテイ</t>
    </rPh>
    <rPh sb="2" eb="3">
      <t>アタイ</t>
    </rPh>
    <phoneticPr fontId="1"/>
  </si>
  <si>
    <r>
      <rPr>
        <sz val="11"/>
        <color theme="1"/>
        <rFont val="ＭＳ Ｐ明朝"/>
        <family val="1"/>
        <charset val="128"/>
      </rPr>
      <t>理想値</t>
    </r>
    <rPh sb="0" eb="2">
      <t>リソウ</t>
    </rPh>
    <rPh sb="2" eb="3">
      <t>アタイ</t>
    </rPh>
    <phoneticPr fontId="1"/>
  </si>
  <si>
    <r>
      <rPr>
        <sz val="11"/>
        <color theme="1"/>
        <rFont val="ＭＳ Ｐ明朝"/>
        <family val="1"/>
        <charset val="128"/>
      </rPr>
      <t>誤差</t>
    </r>
    <rPh sb="0" eb="2">
      <t>ゴサ</t>
    </rPh>
    <phoneticPr fontId="1"/>
  </si>
  <si>
    <r>
      <rPr>
        <sz val="11"/>
        <color theme="1"/>
        <rFont val="ＭＳ Ｐ明朝"/>
        <family val="1"/>
        <charset val="128"/>
      </rPr>
      <t>誤差率</t>
    </r>
    <rPh sb="0" eb="2">
      <t>ゴサ</t>
    </rPh>
    <rPh sb="2" eb="3">
      <t>リツ</t>
    </rPh>
    <phoneticPr fontId="1"/>
  </si>
  <si>
    <r>
      <rPr>
        <sz val="11"/>
        <color theme="1"/>
        <rFont val="ＭＳ Ｐ明朝"/>
        <family val="1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</si>
  <si>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ＭＳ Ｐ明朝"/>
        <family val="1"/>
        <charset val="128"/>
      </rPr>
      <t>入力範囲</t>
    </r>
    <rPh sb="0" eb="2">
      <t>ニュウリョク</t>
    </rPh>
    <rPh sb="2" eb="4">
      <t>ハンイ</t>
    </rPh>
    <phoneticPr fontId="1"/>
  </si>
  <si>
    <r>
      <rPr>
        <sz val="11"/>
        <color theme="1"/>
        <rFont val="ＭＳ Ｐ明朝"/>
        <family val="1"/>
        <charset val="128"/>
      </rPr>
      <t>I</t>
    </r>
    <r>
      <rPr>
        <sz val="11"/>
        <color theme="1"/>
        <rFont val="Times New Roman"/>
        <family val="1"/>
      </rPr>
      <t xml:space="preserve"> [m</t>
    </r>
    <r>
      <rPr>
        <vertAlign val="super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]</t>
    </r>
    <phoneticPr fontId="1"/>
  </si>
  <si>
    <t>ヤング率</t>
    <rPh sb="3" eb="4">
      <t>リツ</t>
    </rPh>
    <phoneticPr fontId="1"/>
  </si>
  <si>
    <t>断面二次モーメントとその誤差率</t>
    <rPh sb="0" eb="2">
      <t>ダンメン</t>
    </rPh>
    <rPh sb="2" eb="4">
      <t>ニジ</t>
    </rPh>
    <rPh sb="12" eb="14">
      <t>ゴサ</t>
    </rPh>
    <rPh sb="14" eb="15">
      <t>リツ</t>
    </rPh>
    <phoneticPr fontId="1"/>
  </si>
  <si>
    <t>測定者誤差の影響</t>
    <rPh sb="0" eb="2">
      <t>ソクテイ</t>
    </rPh>
    <rPh sb="2" eb="3">
      <t>シャ</t>
    </rPh>
    <rPh sb="3" eb="5">
      <t>ゴサ</t>
    </rPh>
    <rPh sb="6" eb="8">
      <t>エイキョウ</t>
    </rPh>
    <phoneticPr fontId="1"/>
  </si>
  <si>
    <r>
      <rPr>
        <sz val="11"/>
        <color theme="1"/>
        <rFont val="ＭＳ Ｐ明朝"/>
        <family val="1"/>
        <charset val="128"/>
      </rPr>
      <t>実験</t>
    </r>
    <r>
      <rPr>
        <sz val="11"/>
        <color theme="1"/>
        <rFont val="Times New Roman"/>
        <family val="1"/>
      </rPr>
      <t>1-</t>
    </r>
    <r>
      <rPr>
        <sz val="11"/>
        <color theme="1"/>
        <rFont val="ＭＳ Ｐ明朝"/>
        <family val="1"/>
        <charset val="128"/>
      </rPr>
      <t>試験片寸法</t>
    </r>
    <rPh sb="0" eb="2">
      <t>ジッケン</t>
    </rPh>
    <rPh sb="4" eb="6">
      <t>シケン</t>
    </rPh>
    <rPh sb="6" eb="7">
      <t>ヘン</t>
    </rPh>
    <rPh sb="7" eb="9">
      <t>スンポウ</t>
    </rPh>
    <phoneticPr fontId="1"/>
  </si>
  <si>
    <t>測定者誤差の仮定</t>
    <rPh sb="0" eb="2">
      <t>ソクテイ</t>
    </rPh>
    <rPh sb="2" eb="3">
      <t>シャ</t>
    </rPh>
    <rPh sb="3" eb="5">
      <t>ゴサ</t>
    </rPh>
    <rPh sb="6" eb="8">
      <t>カテイ</t>
    </rPh>
    <phoneticPr fontId="1"/>
  </si>
  <si>
    <t>自動計算範囲</t>
    <rPh sb="0" eb="2">
      <t>ジドウ</t>
    </rPh>
    <rPh sb="2" eb="4">
      <t>ケイサン</t>
    </rPh>
    <rPh sb="4" eb="6">
      <t>ハンイ</t>
    </rPh>
    <phoneticPr fontId="1"/>
  </si>
  <si>
    <t>自動計算範囲は何も入力しないこと。</t>
    <rPh sb="0" eb="2">
      <t>ジドウ</t>
    </rPh>
    <rPh sb="2" eb="4">
      <t>ケイサン</t>
    </rPh>
    <rPh sb="4" eb="6">
      <t>ハンイ</t>
    </rPh>
    <rPh sb="7" eb="8">
      <t>ナニ</t>
    </rPh>
    <rPh sb="9" eb="11">
      <t>ニュウリョク</t>
    </rPh>
    <phoneticPr fontId="1"/>
  </si>
  <si>
    <t>計測器誤差の影響</t>
    <rPh sb="0" eb="2">
      <t>ケイソク</t>
    </rPh>
    <rPh sb="3" eb="5">
      <t>ゴサ</t>
    </rPh>
    <rPh sb="6" eb="8">
      <t>エイキョウ</t>
    </rPh>
    <phoneticPr fontId="1"/>
  </si>
  <si>
    <t>試験片寸法</t>
    <rPh sb="0" eb="2">
      <t>シケン</t>
    </rPh>
    <rPh sb="2" eb="3">
      <t>ヘン</t>
    </rPh>
    <rPh sb="3" eb="5">
      <t>スンポウ</t>
    </rPh>
    <phoneticPr fontId="1"/>
  </si>
  <si>
    <t>測定者誤差の設定</t>
    <rPh sb="0" eb="2">
      <t>ソクテイ</t>
    </rPh>
    <rPh sb="2" eb="3">
      <t>シャ</t>
    </rPh>
    <rPh sb="3" eb="5">
      <t>ゴサ</t>
    </rPh>
    <rPh sb="6" eb="8">
      <t>セッテイ</t>
    </rPh>
    <phoneticPr fontId="1"/>
  </si>
  <si>
    <r>
      <rPr>
        <sz val="11"/>
        <color theme="1"/>
        <rFont val="ＭＳ Ｐ明朝"/>
        <family val="1"/>
        <charset val="128"/>
      </rPr>
      <t>ノギス</t>
    </r>
    <r>
      <rPr>
        <sz val="11"/>
        <color theme="1"/>
        <rFont val="Times New Roman"/>
        <family val="1"/>
      </rPr>
      <t xml:space="preserve"> [mm]</t>
    </r>
    <phoneticPr fontId="1"/>
  </si>
  <si>
    <r>
      <rPr>
        <sz val="11"/>
        <color theme="1"/>
        <rFont val="ＭＳ Ｐ明朝"/>
        <family val="1"/>
        <charset val="128"/>
      </rPr>
      <t>マイクロメーター</t>
    </r>
    <r>
      <rPr>
        <sz val="11"/>
        <color theme="1"/>
        <rFont val="Times New Roman"/>
        <family val="1"/>
      </rPr>
      <t xml:space="preserve"> [mm]</t>
    </r>
    <phoneticPr fontId="1"/>
  </si>
  <si>
    <r>
      <rPr>
        <sz val="11"/>
        <color theme="1"/>
        <rFont val="ＭＳ Ｐ明朝"/>
        <family val="1"/>
        <charset val="128"/>
      </rPr>
      <t>マイクロメーター</t>
    </r>
    <r>
      <rPr>
        <sz val="11"/>
        <color theme="1"/>
        <rFont val="Times New Roman"/>
        <family val="1"/>
      </rPr>
      <t xml:space="preserve"> [mm]</t>
    </r>
    <phoneticPr fontId="1"/>
  </si>
  <si>
    <t>測定1回目</t>
    <rPh sb="0" eb="2">
      <t>ソクテイ</t>
    </rPh>
    <rPh sb="3" eb="5">
      <t>カイメ</t>
    </rPh>
    <phoneticPr fontId="1"/>
  </si>
  <si>
    <t>平均値</t>
    <rPh sb="0" eb="2">
      <t>ヘイキン</t>
    </rPh>
    <rPh sb="2" eb="3">
      <t>アタイ</t>
    </rPh>
    <phoneticPr fontId="1"/>
  </si>
  <si>
    <t>分散(ばらつき)</t>
    <rPh sb="0" eb="2">
      <t>ブンサン</t>
    </rPh>
    <phoneticPr fontId="1"/>
  </si>
  <si>
    <t>測定2回目</t>
    <rPh sb="0" eb="2">
      <t>ソクテイ</t>
    </rPh>
    <rPh sb="3" eb="5">
      <t>カイメ</t>
    </rPh>
    <phoneticPr fontId="1"/>
  </si>
  <si>
    <t>測定3回目</t>
    <rPh sb="0" eb="2">
      <t>ソクテイ</t>
    </rPh>
    <rPh sb="3" eb="5">
      <t>カイメ</t>
    </rPh>
    <phoneticPr fontId="1"/>
  </si>
  <si>
    <t>測定4回目</t>
    <rPh sb="0" eb="2">
      <t>ソクテイ</t>
    </rPh>
    <rPh sb="3" eb="5">
      <t>カイメ</t>
    </rPh>
    <phoneticPr fontId="1"/>
  </si>
  <si>
    <t>用いた材料データ</t>
    <rPh sb="0" eb="1">
      <t>モチ</t>
    </rPh>
    <rPh sb="3" eb="5">
      <t>ザイリョウ</t>
    </rPh>
    <phoneticPr fontId="1"/>
  </si>
  <si>
    <t>材料名</t>
    <rPh sb="0" eb="2">
      <t>ザイリョウ</t>
    </rPh>
    <rPh sb="2" eb="3">
      <t>メイ</t>
    </rPh>
    <phoneticPr fontId="1"/>
  </si>
  <si>
    <t>軟鋼</t>
    <rPh sb="0" eb="2">
      <t>ナンコウ</t>
    </rPh>
    <phoneticPr fontId="1"/>
  </si>
  <si>
    <t>ポアソン比</t>
    <rPh sb="4" eb="5">
      <t>ヒ</t>
    </rPh>
    <phoneticPr fontId="1"/>
  </si>
  <si>
    <r>
      <rPr>
        <sz val="11"/>
        <color theme="1"/>
        <rFont val="ＭＳ Ｐ明朝"/>
        <family val="1"/>
        <charset val="128"/>
      </rPr>
      <t>実験</t>
    </r>
    <r>
      <rPr>
        <sz val="11"/>
        <color theme="1"/>
        <rFont val="Times New Roman"/>
        <family val="1"/>
      </rPr>
      <t>1-</t>
    </r>
    <r>
      <rPr>
        <sz val="11"/>
        <color theme="1"/>
        <rFont val="ＭＳ Ｐ明朝"/>
        <family val="1"/>
        <charset val="128"/>
      </rPr>
      <t>荷重とたわみの測定結果</t>
    </r>
    <rPh sb="0" eb="2">
      <t>ジッケン</t>
    </rPh>
    <rPh sb="4" eb="6">
      <t>カジュウ</t>
    </rPh>
    <rPh sb="11" eb="13">
      <t>ソクテイ</t>
    </rPh>
    <rPh sb="13" eb="15">
      <t>ケッカ</t>
    </rPh>
    <phoneticPr fontId="1"/>
  </si>
  <si>
    <t>xの刻み幅の選定</t>
    <rPh sb="2" eb="3">
      <t>キザ</t>
    </rPh>
    <rPh sb="4" eb="5">
      <t>ハバ</t>
    </rPh>
    <rPh sb="6" eb="8">
      <t>センテイ</t>
    </rPh>
    <phoneticPr fontId="1"/>
  </si>
  <si>
    <t>x方向のずれを考慮した場合の図のずれ</t>
    <rPh sb="1" eb="3">
      <t>ホウコウ</t>
    </rPh>
    <rPh sb="7" eb="9">
      <t>コウリョ</t>
    </rPh>
    <rPh sb="11" eb="13">
      <t>バアイ</t>
    </rPh>
    <rPh sb="14" eb="15">
      <t>ズ</t>
    </rPh>
    <phoneticPr fontId="1"/>
  </si>
  <si>
    <t>どの程度の誤差が乗るかの誤差率</t>
    <rPh sb="2" eb="4">
      <t>テイド</t>
    </rPh>
    <rPh sb="5" eb="7">
      <t>ゴサ</t>
    </rPh>
    <rPh sb="8" eb="9">
      <t>ノ</t>
    </rPh>
    <rPh sb="12" eb="14">
      <t>ゴサ</t>
    </rPh>
    <rPh sb="14" eb="15">
      <t>リツ</t>
    </rPh>
    <phoneticPr fontId="1"/>
  </si>
  <si>
    <t>理論値</t>
    <rPh sb="0" eb="2">
      <t>リロン</t>
    </rPh>
    <rPh sb="2" eb="3">
      <t>アタイ</t>
    </rPh>
    <phoneticPr fontId="1"/>
  </si>
  <si>
    <t>長手方向の誤差こみ</t>
    <rPh sb="0" eb="4">
      <t>ナガテホウコウ</t>
    </rPh>
    <rPh sb="5" eb="7">
      <t>ゴサ</t>
    </rPh>
    <phoneticPr fontId="1"/>
  </si>
  <si>
    <t>誤差率</t>
    <rPh sb="0" eb="2">
      <t>ゴサ</t>
    </rPh>
    <rPh sb="2" eb="3">
      <t>リツ</t>
    </rPh>
    <phoneticPr fontId="1"/>
  </si>
  <si>
    <t>VBAでつくる</t>
    <phoneticPr fontId="1"/>
  </si>
  <si>
    <t>シミュレーション開始ボタンをつける</t>
    <rPh sb="8" eb="10">
      <t>カイシ</t>
    </rPh>
    <phoneticPr fontId="1"/>
  </si>
  <si>
    <t>図を重ね合わせたもの</t>
    <rPh sb="0" eb="1">
      <t>ズ</t>
    </rPh>
    <rPh sb="2" eb="3">
      <t>カサ</t>
    </rPh>
    <rPh sb="4" eb="5">
      <t>ア</t>
    </rPh>
    <phoneticPr fontId="1"/>
  </si>
  <si>
    <t>単体の図</t>
    <rPh sb="0" eb="2">
      <t>タンタイ</t>
    </rPh>
    <rPh sb="3" eb="4">
      <t>ズ</t>
    </rPh>
    <phoneticPr fontId="1"/>
  </si>
  <si>
    <t>誤差こみのほうも同様に</t>
    <rPh sb="0" eb="2">
      <t>ゴサ</t>
    </rPh>
    <rPh sb="8" eb="10">
      <t>ドウヨウ</t>
    </rPh>
    <phoneticPr fontId="1"/>
  </si>
  <si>
    <t>理論値のほうは、断面二次モーメントやヤング率も理想の値の場合の時と断面二次モーメントに実験値を用いた場合で分ける</t>
    <rPh sb="0" eb="2">
      <t>リロン</t>
    </rPh>
    <rPh sb="2" eb="3">
      <t>アタイ</t>
    </rPh>
    <rPh sb="8" eb="10">
      <t>ダンメン</t>
    </rPh>
    <rPh sb="10" eb="12">
      <t>ニジ</t>
    </rPh>
    <rPh sb="21" eb="22">
      <t>リツ</t>
    </rPh>
    <rPh sb="23" eb="25">
      <t>リソウ</t>
    </rPh>
    <rPh sb="26" eb="27">
      <t>アタイ</t>
    </rPh>
    <rPh sb="28" eb="30">
      <t>バアイ</t>
    </rPh>
    <rPh sb="31" eb="32">
      <t>トキ</t>
    </rPh>
    <rPh sb="33" eb="35">
      <t>ダンメン</t>
    </rPh>
    <rPh sb="35" eb="37">
      <t>ニジ</t>
    </rPh>
    <rPh sb="43" eb="45">
      <t>ジッケン</t>
    </rPh>
    <rPh sb="45" eb="46">
      <t>アタイ</t>
    </rPh>
    <rPh sb="47" eb="48">
      <t>モチ</t>
    </rPh>
    <rPh sb="50" eb="52">
      <t>バアイ</t>
    </rPh>
    <rPh sb="53" eb="54">
      <t>ワ</t>
    </rPh>
    <phoneticPr fontId="1"/>
  </si>
  <si>
    <r>
      <rPr>
        <sz val="11"/>
        <color theme="1"/>
        <rFont val="ＭＳ Ｐ明朝"/>
        <family val="1"/>
        <charset val="128"/>
      </rPr>
      <t>測定値の</t>
    </r>
    <r>
      <rPr>
        <sz val="11"/>
        <color theme="1"/>
        <rFont val="Times New Roman"/>
        <family val="1"/>
      </rPr>
      <t>P/</t>
    </r>
    <r>
      <rPr>
        <sz val="11"/>
        <color theme="1"/>
        <rFont val="ＭＳ Ｐ明朝"/>
        <family val="1"/>
        <charset val="128"/>
      </rPr>
      <t>δを用いた場合</t>
    </r>
    <rPh sb="0" eb="2">
      <t>ソクテイ</t>
    </rPh>
    <rPh sb="2" eb="3">
      <t>アタイ</t>
    </rPh>
    <rPh sb="8" eb="9">
      <t>モチ</t>
    </rPh>
    <rPh sb="11" eb="13">
      <t>バアイ</t>
    </rPh>
    <phoneticPr fontId="1"/>
  </si>
  <si>
    <r>
      <rPr>
        <sz val="11"/>
        <color theme="1"/>
        <rFont val="ＭＳ Ｐ明朝"/>
        <family val="1"/>
        <charset val="128"/>
      </rPr>
      <t>補正値の</t>
    </r>
    <r>
      <rPr>
        <sz val="11"/>
        <color theme="1"/>
        <rFont val="Times New Roman"/>
        <family val="1"/>
      </rPr>
      <t>P/</t>
    </r>
    <r>
      <rPr>
        <sz val="11"/>
        <color theme="1"/>
        <rFont val="ＭＳ Ｐ明朝"/>
        <family val="1"/>
        <charset val="128"/>
      </rPr>
      <t>δを用いた場合</t>
    </r>
    <rPh sb="0" eb="2">
      <t>ホセイ</t>
    </rPh>
    <rPh sb="2" eb="3">
      <t>アタイ</t>
    </rPh>
    <rPh sb="8" eb="9">
      <t>モチ</t>
    </rPh>
    <rPh sb="11" eb="13">
      <t>バアイ</t>
    </rPh>
    <phoneticPr fontId="1"/>
  </si>
  <si>
    <t>測定値を用いた場合の材料データ</t>
    <rPh sb="0" eb="2">
      <t>ソクテイ</t>
    </rPh>
    <rPh sb="2" eb="3">
      <t>アタイ</t>
    </rPh>
    <rPh sb="4" eb="5">
      <t>モチ</t>
    </rPh>
    <rPh sb="7" eb="9">
      <t>バアイ</t>
    </rPh>
    <rPh sb="10" eb="12">
      <t>ザイリョウ</t>
    </rPh>
    <phoneticPr fontId="1"/>
  </si>
  <si>
    <t>補正値を用いた場合の材料データ</t>
    <rPh sb="0" eb="2">
      <t>ホセイ</t>
    </rPh>
    <rPh sb="2" eb="3">
      <t>アタイ</t>
    </rPh>
    <rPh sb="4" eb="5">
      <t>モチ</t>
    </rPh>
    <rPh sb="7" eb="9">
      <t>バアイ</t>
    </rPh>
    <rPh sb="10" eb="12">
      <t>ザイリョウ</t>
    </rPh>
    <phoneticPr fontId="1"/>
  </si>
  <si>
    <t>特異点付近での刻み数が細かくなるようにする</t>
    <rPh sb="0" eb="2">
      <t>トクイ</t>
    </rPh>
    <rPh sb="2" eb="3">
      <t>テン</t>
    </rPh>
    <rPh sb="3" eb="5">
      <t>フキン</t>
    </rPh>
    <rPh sb="7" eb="8">
      <t>キザ</t>
    </rPh>
    <rPh sb="9" eb="10">
      <t>スウ</t>
    </rPh>
    <rPh sb="11" eb="12">
      <t>コマ</t>
    </rPh>
    <phoneticPr fontId="1"/>
  </si>
  <si>
    <t>テーマ</t>
    <phoneticPr fontId="1"/>
  </si>
  <si>
    <t>定義</t>
    <rPh sb="0" eb="2">
      <t>テイギ</t>
    </rPh>
    <phoneticPr fontId="1"/>
  </si>
  <si>
    <t>実験方法</t>
    <rPh sb="0" eb="2">
      <t>ジッケン</t>
    </rPh>
    <rPh sb="2" eb="4">
      <t>ホウホウ</t>
    </rPh>
    <phoneticPr fontId="1"/>
  </si>
  <si>
    <t>実験結果</t>
    <rPh sb="0" eb="2">
      <t>ジッケン</t>
    </rPh>
    <rPh sb="2" eb="4">
      <t>ケッカ</t>
    </rPh>
    <phoneticPr fontId="1"/>
  </si>
  <si>
    <t>仮定</t>
    <rPh sb="0" eb="2">
      <t>カテイ</t>
    </rPh>
    <phoneticPr fontId="1"/>
  </si>
  <si>
    <t>理論値との誤差と誤差率、有意差</t>
    <rPh sb="0" eb="2">
      <t>リロン</t>
    </rPh>
    <rPh sb="2" eb="3">
      <t>アタイ</t>
    </rPh>
    <rPh sb="5" eb="7">
      <t>ゴサ</t>
    </rPh>
    <rPh sb="8" eb="10">
      <t>ゴサ</t>
    </rPh>
    <rPh sb="10" eb="11">
      <t>リツ</t>
    </rPh>
    <rPh sb="12" eb="15">
      <t>ユウイサ</t>
    </rPh>
    <phoneticPr fontId="1"/>
  </si>
  <si>
    <t>計算値との誤差、誤差率、有意差</t>
    <rPh sb="0" eb="2">
      <t>ケイサン</t>
    </rPh>
    <rPh sb="2" eb="3">
      <t>アタイ</t>
    </rPh>
    <rPh sb="5" eb="7">
      <t>ゴサ</t>
    </rPh>
    <rPh sb="8" eb="10">
      <t>ゴサ</t>
    </rPh>
    <rPh sb="10" eb="11">
      <t>リツ</t>
    </rPh>
    <rPh sb="12" eb="15">
      <t>ユウイサ</t>
    </rPh>
    <phoneticPr fontId="1"/>
  </si>
  <si>
    <t>仮定を裏付けるための補正作業方法</t>
    <rPh sb="0" eb="2">
      <t>カテイ</t>
    </rPh>
    <rPh sb="3" eb="5">
      <t>ウラヅ</t>
    </rPh>
    <rPh sb="10" eb="12">
      <t>ホセイ</t>
    </rPh>
    <rPh sb="12" eb="14">
      <t>サギョウ</t>
    </rPh>
    <rPh sb="14" eb="16">
      <t>ホウホウ</t>
    </rPh>
    <phoneticPr fontId="1"/>
  </si>
  <si>
    <t>補正による誤差の解消結果</t>
    <rPh sb="0" eb="2">
      <t>ホセイ</t>
    </rPh>
    <rPh sb="5" eb="7">
      <t>ゴサ</t>
    </rPh>
    <rPh sb="8" eb="10">
      <t>カイショウ</t>
    </rPh>
    <rPh sb="10" eb="12">
      <t>ケッカ</t>
    </rPh>
    <phoneticPr fontId="1"/>
  </si>
  <si>
    <t>仮定が正しかったかどうか</t>
    <rPh sb="0" eb="2">
      <t>カテイ</t>
    </rPh>
    <rPh sb="3" eb="4">
      <t>タダ</t>
    </rPh>
    <phoneticPr fontId="1"/>
  </si>
  <si>
    <t>その仮定を利用した改善策</t>
    <rPh sb="2" eb="4">
      <t>カテイ</t>
    </rPh>
    <rPh sb="5" eb="7">
      <t>リヨウ</t>
    </rPh>
    <rPh sb="9" eb="12">
      <t>カイゼンサク</t>
    </rPh>
    <phoneticPr fontId="1"/>
  </si>
  <si>
    <t>この方法の問題点(あれば)</t>
    <rPh sb="2" eb="4">
      <t>ホウホウ</t>
    </rPh>
    <rPh sb="5" eb="7">
      <t>モンダイ</t>
    </rPh>
    <rPh sb="7" eb="8">
      <t>テン</t>
    </rPh>
    <phoneticPr fontId="1"/>
  </si>
  <si>
    <t>試験条件</t>
  </si>
  <si>
    <t>条件</t>
  </si>
  <si>
    <t>ヤング率[GPa]</t>
  </si>
  <si>
    <t>P/δ(補正前)</t>
  </si>
  <si>
    <t>P/δ(補正後)</t>
  </si>
  <si>
    <t>計測器誤差の設定</t>
  </si>
  <si>
    <t>δ（ｍｍ）</t>
    <phoneticPr fontId="1"/>
  </si>
  <si>
    <t>P (N)</t>
    <phoneticPr fontId="1"/>
  </si>
  <si>
    <t>グラフ作成用の表(補正前)</t>
  </si>
  <si>
    <t>レポート用の表(補正前)</t>
  </si>
  <si>
    <t>レポート用の表(0点補正後)/使用不可</t>
  </si>
  <si>
    <t>レポート用グラフ</t>
  </si>
  <si>
    <t>スパン長さL [m] (試験片1)</t>
  </si>
  <si>
    <t>計測器誤差の仮定</t>
  </si>
  <si>
    <t>0点補正後</t>
  </si>
  <si>
    <t>0点補正前</t>
  </si>
  <si>
    <t>レポート用表</t>
  </si>
  <si>
    <t>2ゲージ2アクティブ法</t>
  </si>
  <si>
    <t>実験2-a: ひずみゲージ接続法による測定結果の違い</t>
  </si>
  <si>
    <t>自動計算範囲は何も入力しないこと．初めに，レポート用の表とグラフ用の表を埋めること．</t>
  </si>
  <si>
    <t>※下のグラフから読み取る．</t>
  </si>
  <si>
    <t>自動計算範囲は何も入力しないこと．</t>
  </si>
  <si>
    <t>理論値算出</t>
  </si>
  <si>
    <t>各ひずみゲージの接続位置</t>
  </si>
  <si>
    <t>1ゲージ2線法</t>
  </si>
  <si>
    <t>1ゲージ3線法</t>
  </si>
  <si>
    <t>梁のスパン長さL [m]</t>
  </si>
  <si>
    <t>荷重</t>
  </si>
  <si>
    <t>荷重 [N]</t>
  </si>
  <si>
    <t>ヤング率</t>
  </si>
  <si>
    <t>ヤング率E [GPa]</t>
  </si>
  <si>
    <t>測定値</t>
  </si>
  <si>
    <t>理論値を用いた場合の材料データ</t>
  </si>
  <si>
    <t>補正値</t>
  </si>
  <si>
    <t>断面係数</t>
  </si>
  <si>
    <t>断面係数 [m^3]</t>
  </si>
  <si>
    <t>試験片2の寸法</t>
  </si>
  <si>
    <t>幅 [mm]</t>
  </si>
  <si>
    <t>厚さ [mm]</t>
  </si>
  <si>
    <t>荷重点(s1) [m]</t>
  </si>
  <si>
    <t>荷重点から右端までの距離(s2)</t>
  </si>
  <si>
    <t>誤差</t>
  </si>
  <si>
    <t>誤差率</t>
  </si>
  <si>
    <t>左端からの距離 [m](理論値)</t>
  </si>
  <si>
    <t>左端からの距離 [m](測定値)</t>
  </si>
  <si>
    <t>曲げモーメント</t>
  </si>
  <si>
    <t>ひずみ</t>
  </si>
  <si>
    <t>左端からの距離 [m](補正値)</t>
  </si>
  <si>
    <t>補正誤差(正負で入力)</t>
  </si>
  <si>
    <t>1ゲージ2線法[10^-6 m]</t>
  </si>
  <si>
    <t>1ゲージ3線法[10^-6 m]</t>
  </si>
  <si>
    <t>2ゲージ2アクティブ法[10^-6 m]</t>
  </si>
  <si>
    <t>x</t>
  </si>
  <si>
    <t>Q</t>
  </si>
  <si>
    <t>M</t>
  </si>
  <si>
    <t>補正値のグラフ</t>
  </si>
  <si>
    <t>測定値のグラフ</t>
  </si>
  <si>
    <t>理論値のグラフ</t>
  </si>
  <si>
    <r>
      <rPr>
        <sz val="11"/>
        <color theme="1"/>
        <rFont val="ＭＳ Ｐ明朝"/>
        <family val="1"/>
        <charset val="128"/>
      </rPr>
      <t>実験2</t>
    </r>
    <r>
      <rPr>
        <sz val="11"/>
        <color theme="1"/>
        <rFont val="Times New Roman"/>
        <family val="1"/>
      </rPr>
      <t>-</t>
    </r>
    <r>
      <rPr>
        <sz val="11"/>
        <color theme="1"/>
        <rFont val="ＭＳ Ｐ明朝"/>
        <family val="1"/>
        <charset val="128"/>
      </rPr>
      <t>荷重とたわみの測定結果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</si>
</sst>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9" formatCode="0.000_ "/>
    <numFmt numFmtId="174" formatCode="0.000000000"/>
  </numFmts>
  <fonts count="1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sz val="10.5"/>
      <color theme="1"/>
      <name val="ＭＳ Ｐ明朝"/>
      <family val="1"/>
      <charset val="128"/>
    </font>
    <font>
      <sz val="10.5"/>
      <color theme="1"/>
      <name val="Times New Roman"/>
      <family val="1"/>
    </font>
    <font>
      <vertAlign val="subscript"/>
      <sz val="10.5"/>
      <color theme="1"/>
      <name val="ＭＳ Ｐ明朝"/>
      <family val="1"/>
      <charset val="128"/>
    </font>
    <font>
      <vertAlign val="superscript"/>
      <sz val="10.5"/>
      <color theme="1"/>
      <name val="Times New Roman"/>
      <family val="1"/>
    </font>
    <font>
      <sz val="12"/>
      <color theme="1"/>
      <name val="Yu Mincho"/>
      <family val="3"/>
      <charset val="128"/>
    </font>
    <font>
      <sz val="12"/>
      <color theme="1"/>
      <name val="Times New Roman"/>
    </font>
    <font>
      <u/>
      <sz val="11"/>
      <color theme="10"/>
      <name val="Calibri"/>
      <family val="2"/>
      <charset val="128"/>
      <scheme val="minor"/>
    </font>
    <font>
      <u/>
      <sz val="11"/>
      <color theme="1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vertAlign val="superscript"/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top"/>
    </xf>
    <xf numFmtId="0" fontId="8" fillId="0" borderId="5" xfId="0" applyFont="1" applyBorder="1" applyAlignment="1">
      <alignment horizontal="center" vertical="top"/>
    </xf>
    <xf numFmtId="0" fontId="2" fillId="0" borderId="1" xfId="0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165" fontId="2" fillId="0" borderId="3" xfId="0" applyNumberFormat="1" applyFont="1" applyBorder="1">
      <alignment vertical="center"/>
    </xf>
    <xf numFmtId="164" fontId="2" fillId="0" borderId="3" xfId="0" applyNumberFormat="1" applyFont="1" applyBorder="1">
      <alignment vertical="center"/>
    </xf>
    <xf numFmtId="10" fontId="2" fillId="0" borderId="3" xfId="9" applyNumberFormat="1" applyFont="1" applyBorder="1">
      <alignment vertical="center"/>
    </xf>
    <xf numFmtId="165" fontId="2" fillId="0" borderId="1" xfId="0" applyNumberFormat="1" applyFont="1" applyBorder="1">
      <alignment vertical="center"/>
    </xf>
    <xf numFmtId="164" fontId="2" fillId="0" borderId="1" xfId="0" applyNumberFormat="1" applyFont="1" applyBorder="1">
      <alignment vertical="center"/>
    </xf>
    <xf numFmtId="10" fontId="2" fillId="0" borderId="1" xfId="9" applyNumberFormat="1" applyFont="1" applyBorder="1">
      <alignment vertical="center"/>
    </xf>
    <xf numFmtId="0" fontId="2" fillId="2" borderId="1" xfId="0" applyFont="1" applyFill="1" applyBorder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3" xfId="0" applyFont="1" applyFill="1" applyBorder="1">
      <alignment vertical="center"/>
    </xf>
    <xf numFmtId="0" fontId="2" fillId="0" borderId="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165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165" fontId="2" fillId="0" borderId="6" xfId="0" applyNumberFormat="1" applyFont="1" applyBorder="1">
      <alignment vertical="center"/>
    </xf>
    <xf numFmtId="164" fontId="2" fillId="0" borderId="7" xfId="0" applyNumberFormat="1" applyFont="1" applyBorder="1">
      <alignment vertical="center"/>
    </xf>
    <xf numFmtId="10" fontId="2" fillId="0" borderId="6" xfId="9" applyNumberFormat="1" applyFont="1" applyBorder="1">
      <alignment vertical="center"/>
    </xf>
    <xf numFmtId="10" fontId="2" fillId="0" borderId="7" xfId="9" applyNumberFormat="1" applyFont="1" applyBorder="1">
      <alignment vertical="center"/>
    </xf>
    <xf numFmtId="165" fontId="2" fillId="0" borderId="12" xfId="0" applyNumberFormat="1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center" vertical="center"/>
    </xf>
    <xf numFmtId="165" fontId="2" fillId="2" borderId="8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>
      <alignment vertical="center"/>
    </xf>
    <xf numFmtId="164" fontId="2" fillId="0" borderId="3" xfId="0" applyNumberFormat="1" applyFont="1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2" fillId="3" borderId="0" xfId="0" applyFont="1" applyFill="1" applyBorder="1" applyAlignment="1">
      <alignment vertical="center"/>
    </xf>
    <xf numFmtId="2" fontId="2" fillId="4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>
      <alignment vertical="center"/>
    </xf>
    <xf numFmtId="164" fontId="2" fillId="0" borderId="0" xfId="0" applyNumberFormat="1" applyFont="1" applyFill="1" applyBorder="1">
      <alignment vertical="center"/>
    </xf>
    <xf numFmtId="10" fontId="2" fillId="0" borderId="0" xfId="9" applyNumberFormat="1" applyFont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3" fillId="0" borderId="2" xfId="0" applyFont="1" applyBorder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164" fontId="5" fillId="2" borderId="4" xfId="0" applyNumberFormat="1" applyFont="1" applyFill="1" applyBorder="1" applyAlignment="1">
      <alignment vertical="top" wrapText="1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69" fontId="0" fillId="2" borderId="15" xfId="0" applyNumberFormat="1" applyFill="1" applyBorder="1" applyAlignment="1">
      <alignment horizontal="center" vertical="center"/>
    </xf>
    <xf numFmtId="169" fontId="0" fillId="2" borderId="2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21" xfId="0" applyFill="1" applyBorder="1" applyAlignment="1">
      <alignment horizontal="left" vertical="center"/>
    </xf>
    <xf numFmtId="0" fontId="14" fillId="0" borderId="0" xfId="0" applyFont="1">
      <alignment vertical="center"/>
    </xf>
    <xf numFmtId="0" fontId="0" fillId="0" borderId="15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164" fontId="0" fillId="0" borderId="22" xfId="0" applyNumberFormat="1" applyFill="1" applyBorder="1" applyAlignment="1">
      <alignment horizontal="center" vertical="center"/>
    </xf>
    <xf numFmtId="164" fontId="0" fillId="0" borderId="20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5" fillId="5" borderId="1" xfId="0" applyFont="1" applyFill="1" applyBorder="1" applyAlignment="1">
      <alignment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vertical="top" wrapText="1"/>
    </xf>
    <xf numFmtId="0" fontId="5" fillId="5" borderId="2" xfId="0" applyFont="1" applyFill="1" applyBorder="1" applyAlignment="1">
      <alignment horizontal="center" vertical="center" wrapText="1"/>
    </xf>
    <xf numFmtId="165" fontId="5" fillId="5" borderId="2" xfId="0" applyNumberFormat="1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164" fontId="5" fillId="5" borderId="3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 applyAlignment="1">
      <alignment horizontal="center" vertical="center" wrapText="1"/>
    </xf>
    <xf numFmtId="164" fontId="5" fillId="5" borderId="4" xfId="0" applyNumberFormat="1" applyFont="1" applyFill="1" applyBorder="1" applyAlignment="1">
      <alignment vertical="top" wrapText="1"/>
    </xf>
    <xf numFmtId="0" fontId="0" fillId="0" borderId="24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3" fillId="3" borderId="0" xfId="0" applyFont="1" applyFill="1" applyBorder="1" applyAlignment="1">
      <alignment horizontal="left" vertical="center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2" fontId="0" fillId="0" borderId="1" xfId="0" applyNumberFormat="1" applyBorder="1">
      <alignment vertical="center"/>
    </xf>
    <xf numFmtId="10" fontId="0" fillId="0" borderId="3" xfId="9" applyNumberFormat="1" applyFont="1" applyBorder="1">
      <alignment vertical="center"/>
    </xf>
    <xf numFmtId="174" fontId="0" fillId="0" borderId="3" xfId="0" applyNumberFormat="1" applyFill="1" applyBorder="1">
      <alignment vertical="center"/>
    </xf>
    <xf numFmtId="174" fontId="0" fillId="0" borderId="3" xfId="0" applyNumberFormat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2" fontId="5" fillId="0" borderId="3" xfId="0" applyNumberFormat="1" applyFont="1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6" borderId="2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10">
    <cellStyle name="パーセント" xfId="9" builtinId="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'実験1-荷重とたわみの測定結果'!$D$48</c:f>
              <c:strCache>
                <c:ptCount val="1"/>
                <c:pt idx="0">
                  <c:v>P 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'実験1-荷重とたわみの測定結果'!$C$49:$C$81</c:f>
              <c:numCache>
                <c:formatCode>General</c:formatCode>
                <c:ptCount val="33"/>
                <c:pt idx="0">
                  <c:v>0</c:v>
                </c:pt>
                <c:pt idx="1">
                  <c:v>3.0000000000000001E-3</c:v>
                </c:pt>
                <c:pt idx="2">
                  <c:v>0</c:v>
                </c:pt>
                <c:pt idx="3">
                  <c:v>7.0000000000000001E-3</c:v>
                </c:pt>
                <c:pt idx="4">
                  <c:v>0</c:v>
                </c:pt>
                <c:pt idx="5">
                  <c:v>-0.01</c:v>
                </c:pt>
                <c:pt idx="6">
                  <c:v>0.14799999999999999</c:v>
                </c:pt>
                <c:pt idx="7">
                  <c:v>0.16200000000000001</c:v>
                </c:pt>
                <c:pt idx="8">
                  <c:v>0.14699999999999999</c:v>
                </c:pt>
                <c:pt idx="9">
                  <c:v>0.13700000000000001</c:v>
                </c:pt>
                <c:pt idx="10">
                  <c:v>0.14799999999999999</c:v>
                </c:pt>
                <c:pt idx="11">
                  <c:v>0.158</c:v>
                </c:pt>
                <c:pt idx="12" formatCode="0.000_ ">
                  <c:v>0.308</c:v>
                </c:pt>
                <c:pt idx="13" formatCode="0.000_ ">
                  <c:v>0.32600000000000001</c:v>
                </c:pt>
                <c:pt idx="14">
                  <c:v>0.312</c:v>
                </c:pt>
                <c:pt idx="15">
                  <c:v>0.32800000000000001</c:v>
                </c:pt>
                <c:pt idx="16" formatCode="0.000_ ">
                  <c:v>0.31</c:v>
                </c:pt>
                <c:pt idx="17">
                  <c:v>0.314</c:v>
                </c:pt>
                <c:pt idx="18" formatCode="0.000_ ">
                  <c:v>0.48499999999999999</c:v>
                </c:pt>
                <c:pt idx="19" formatCode="0.000_ ">
                  <c:v>0.49</c:v>
                </c:pt>
                <c:pt idx="20">
                  <c:v>0.47799999999999998</c:v>
                </c:pt>
                <c:pt idx="21">
                  <c:v>0.498</c:v>
                </c:pt>
                <c:pt idx="22" formatCode="0.000_ ">
                  <c:v>0.48</c:v>
                </c:pt>
                <c:pt idx="23">
                  <c:v>0.48899999999999999</c:v>
                </c:pt>
                <c:pt idx="24" formatCode="0.000_ ">
                  <c:v>0.63700000000000001</c:v>
                </c:pt>
                <c:pt idx="25">
                  <c:v>0.64700000000000002</c:v>
                </c:pt>
                <c:pt idx="26">
                  <c:v>0.63700000000000001</c:v>
                </c:pt>
                <c:pt idx="27">
                  <c:v>0.65400000000000003</c:v>
                </c:pt>
                <c:pt idx="28">
                  <c:v>0.64700000000000002</c:v>
                </c:pt>
                <c:pt idx="29">
                  <c:v>0.64900000000000002</c:v>
                </c:pt>
                <c:pt idx="30" formatCode="0.000_ ">
                  <c:v>0.95599999999999996</c:v>
                </c:pt>
                <c:pt idx="31">
                  <c:v>0.96499999999999997</c:v>
                </c:pt>
                <c:pt idx="32" formatCode="0.000_ ">
                  <c:v>0.96</c:v>
                </c:pt>
              </c:numCache>
            </c:numRef>
          </c:xVal>
          <c:yVal>
            <c:numRef>
              <c:f>'実験1-荷重とたわみの測定結果'!$D$49:$D$81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4.9000000000000004</c:v>
                </c:pt>
                <c:pt idx="7">
                  <c:v>4.9000000000000004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4.9000000000000004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14.7</c:v>
                </c:pt>
                <c:pt idx="19">
                  <c:v>14.7</c:v>
                </c:pt>
                <c:pt idx="20">
                  <c:v>14.7</c:v>
                </c:pt>
                <c:pt idx="21">
                  <c:v>14.7</c:v>
                </c:pt>
                <c:pt idx="22">
                  <c:v>14.7</c:v>
                </c:pt>
                <c:pt idx="23">
                  <c:v>14.7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29.4</c:v>
                </c:pt>
                <c:pt idx="31">
                  <c:v>29.4</c:v>
                </c:pt>
                <c:pt idx="32">
                  <c:v>29.4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546080"/>
        <c:axId val="459540984"/>
      </c:scatterChart>
      <c:valAx>
        <c:axId val="45954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たわみ</a:t>
                </a:r>
              </a:p>
            </c:rich>
          </c:tx>
          <c:layout>
            <c:manualLayout>
              <c:xMode val="edge"/>
              <c:yMode val="edge"/>
              <c:x val="0.43599065609447663"/>
              <c:y val="0.90301692523427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40984"/>
        <c:crosses val="autoZero"/>
        <c:crossBetween val="midCat"/>
      </c:valAx>
      <c:valAx>
        <c:axId val="45954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荷重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4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'実験1-荷重とたわみの測定結果'!$N$48</c:f>
              <c:strCache>
                <c:ptCount val="1"/>
                <c:pt idx="0">
                  <c:v>P 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'実験1-荷重とたわみの測定結果'!$M$49:$M$81</c:f>
              <c:numCache>
                <c:formatCode>General</c:formatCode>
                <c:ptCount val="33"/>
                <c:pt idx="0">
                  <c:v>0</c:v>
                </c:pt>
                <c:pt idx="1">
                  <c:v>3.0000000000000001E-3</c:v>
                </c:pt>
                <c:pt idx="2">
                  <c:v>0</c:v>
                </c:pt>
                <c:pt idx="3">
                  <c:v>7.0000000000000001E-3</c:v>
                </c:pt>
                <c:pt idx="4">
                  <c:v>0</c:v>
                </c:pt>
                <c:pt idx="5">
                  <c:v>-0.01</c:v>
                </c:pt>
                <c:pt idx="6" formatCode="0.000">
                  <c:v>0.14799999999999999</c:v>
                </c:pt>
                <c:pt idx="7" formatCode="0.000">
                  <c:v>0.159</c:v>
                </c:pt>
                <c:pt idx="8" formatCode="0.000">
                  <c:v>0.14699999999999999</c:v>
                </c:pt>
                <c:pt idx="9" formatCode="0.000">
                  <c:v>0.13</c:v>
                </c:pt>
                <c:pt idx="10" formatCode="0.000">
                  <c:v>0.14799999999999999</c:v>
                </c:pt>
                <c:pt idx="11" formatCode="0.000">
                  <c:v>0.16800000000000001</c:v>
                </c:pt>
                <c:pt idx="12" formatCode="0.000">
                  <c:v>0.308</c:v>
                </c:pt>
                <c:pt idx="13" formatCode="0.000">
                  <c:v>0.32300000000000001</c:v>
                </c:pt>
                <c:pt idx="14" formatCode="0.000">
                  <c:v>0.312</c:v>
                </c:pt>
                <c:pt idx="15" formatCode="0.000">
                  <c:v>0.32100000000000001</c:v>
                </c:pt>
                <c:pt idx="16" formatCode="0.000">
                  <c:v>0.31</c:v>
                </c:pt>
                <c:pt idx="17" formatCode="0.000">
                  <c:v>0.32400000000000001</c:v>
                </c:pt>
                <c:pt idx="18" formatCode="0.000">
                  <c:v>0.48499999999999999</c:v>
                </c:pt>
                <c:pt idx="19" formatCode="0.000">
                  <c:v>0.48699999999999999</c:v>
                </c:pt>
                <c:pt idx="20" formatCode="0.000">
                  <c:v>0.47799999999999998</c:v>
                </c:pt>
                <c:pt idx="21" formatCode="0.000">
                  <c:v>0.49099999999999999</c:v>
                </c:pt>
                <c:pt idx="22" formatCode="0.000">
                  <c:v>0.48</c:v>
                </c:pt>
                <c:pt idx="23" formatCode="0.000">
                  <c:v>0.499</c:v>
                </c:pt>
                <c:pt idx="24" formatCode="0.000">
                  <c:v>0.63700000000000001</c:v>
                </c:pt>
                <c:pt idx="25" formatCode="0.000">
                  <c:v>0.64400000000000002</c:v>
                </c:pt>
                <c:pt idx="26" formatCode="0.000">
                  <c:v>0.63700000000000001</c:v>
                </c:pt>
                <c:pt idx="27" formatCode="0.000">
                  <c:v>0.64700000000000002</c:v>
                </c:pt>
                <c:pt idx="28" formatCode="0.000">
                  <c:v>0.64700000000000002</c:v>
                </c:pt>
                <c:pt idx="29" formatCode="0.000">
                  <c:v>0.65900000000000003</c:v>
                </c:pt>
                <c:pt idx="30" formatCode="0.000">
                  <c:v>0.95599999999999996</c:v>
                </c:pt>
                <c:pt idx="31" formatCode="0.000">
                  <c:v>0.96499999999999997</c:v>
                </c:pt>
                <c:pt idx="32" formatCode="0.000">
                  <c:v>0.96</c:v>
                </c:pt>
              </c:numCache>
            </c:numRef>
          </c:xVal>
          <c:yVal>
            <c:numRef>
              <c:f>'実験1-荷重とたわみの測定結果'!$N$49:$N$81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4.9000000000000004</c:v>
                </c:pt>
                <c:pt idx="7">
                  <c:v>4.9000000000000004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4.9000000000000004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14.7</c:v>
                </c:pt>
                <c:pt idx="19">
                  <c:v>14.7</c:v>
                </c:pt>
                <c:pt idx="20">
                  <c:v>14.7</c:v>
                </c:pt>
                <c:pt idx="21">
                  <c:v>14.7</c:v>
                </c:pt>
                <c:pt idx="22">
                  <c:v>14.7</c:v>
                </c:pt>
                <c:pt idx="23">
                  <c:v>14.7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29.4</c:v>
                </c:pt>
                <c:pt idx="31">
                  <c:v>29.4</c:v>
                </c:pt>
                <c:pt idx="32">
                  <c:v>29.4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535104"/>
        <c:axId val="459535888"/>
      </c:scatterChart>
      <c:valAx>
        <c:axId val="45953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35888"/>
        <c:crosses val="autoZero"/>
        <c:crossBetween val="midCat"/>
      </c:valAx>
      <c:valAx>
        <c:axId val="4595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3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'実験2-SFD図とBMD図'!$C$4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'実験2-SFD図とBMD図'!$B$5:$B$67</c:f>
              <c:numCache>
                <c:formatCode>General</c:formatCode>
                <c:ptCount val="6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</c:numCache>
            </c:numRef>
          </c:xVal>
          <c:yVal>
            <c:numRef>
              <c:f>'実験2-SFD図とBMD図'!$C$5:$C$67</c:f>
              <c:numCache>
                <c:formatCode>General</c:formatCode>
                <c:ptCount val="63"/>
                <c:pt idx="0">
                  <c:v>0</c:v>
                </c:pt>
                <c:pt idx="1">
                  <c:v>-9.4838709677419364E-2</c:v>
                </c:pt>
                <c:pt idx="2">
                  <c:v>-0.18967741935483873</c:v>
                </c:pt>
                <c:pt idx="3">
                  <c:v>-0.28451612903225809</c:v>
                </c:pt>
                <c:pt idx="4">
                  <c:v>-0.37935483870967746</c:v>
                </c:pt>
                <c:pt idx="5">
                  <c:v>-0.47419354838709682</c:v>
                </c:pt>
                <c:pt idx="6">
                  <c:v>-0.56903225806451618</c:v>
                </c:pt>
                <c:pt idx="7">
                  <c:v>-0.66387096774193555</c:v>
                </c:pt>
                <c:pt idx="8">
                  <c:v>-0.75870967741935491</c:v>
                </c:pt>
                <c:pt idx="9">
                  <c:v>-0.85354838709677416</c:v>
                </c:pt>
                <c:pt idx="10">
                  <c:v>-0.94838709677419364</c:v>
                </c:pt>
                <c:pt idx="11">
                  <c:v>-1.0432258064516129</c:v>
                </c:pt>
                <c:pt idx="12">
                  <c:v>-1.1380645161290324</c:v>
                </c:pt>
                <c:pt idx="13">
                  <c:v>-1.2329032258064516</c:v>
                </c:pt>
                <c:pt idx="14">
                  <c:v>-1.3277419354838711</c:v>
                </c:pt>
                <c:pt idx="15">
                  <c:v>-1.4225806451612903</c:v>
                </c:pt>
                <c:pt idx="16">
                  <c:v>-1.5174193548387098</c:v>
                </c:pt>
                <c:pt idx="17">
                  <c:v>-1.6122580645161293</c:v>
                </c:pt>
                <c:pt idx="18">
                  <c:v>-1.7070967741935483</c:v>
                </c:pt>
                <c:pt idx="19">
                  <c:v>-1.8019354838709678</c:v>
                </c:pt>
                <c:pt idx="20">
                  <c:v>-1.8967741935483873</c:v>
                </c:pt>
                <c:pt idx="21">
                  <c:v>-1.9916129032258065</c:v>
                </c:pt>
                <c:pt idx="22">
                  <c:v>-2.0864516129032258</c:v>
                </c:pt>
                <c:pt idx="23">
                  <c:v>-2.1812903225806455</c:v>
                </c:pt>
                <c:pt idx="24">
                  <c:v>-2.2761290322580647</c:v>
                </c:pt>
                <c:pt idx="25">
                  <c:v>-2.370967741935484</c:v>
                </c:pt>
                <c:pt idx="26">
                  <c:v>-2.4658064516129032</c:v>
                </c:pt>
                <c:pt idx="27">
                  <c:v>-2.5606451612903229</c:v>
                </c:pt>
                <c:pt idx="28">
                  <c:v>-2.6554838709677422</c:v>
                </c:pt>
                <c:pt idx="29">
                  <c:v>-2.7503225806451614</c:v>
                </c:pt>
                <c:pt idx="30">
                  <c:v>-2.8451612903225807</c:v>
                </c:pt>
                <c:pt idx="31">
                  <c:v>-2.94</c:v>
                </c:pt>
                <c:pt idx="32">
                  <c:v>-3.0348387096774196</c:v>
                </c:pt>
                <c:pt idx="33">
                  <c:v>-2.9336774193548383</c:v>
                </c:pt>
                <c:pt idx="34">
                  <c:v>-2.8325161290322578</c:v>
                </c:pt>
                <c:pt idx="35">
                  <c:v>-2.7313548387096778</c:v>
                </c:pt>
                <c:pt idx="36">
                  <c:v>-2.6301935483870968</c:v>
                </c:pt>
                <c:pt idx="37">
                  <c:v>-2.5290322580645159</c:v>
                </c:pt>
                <c:pt idx="38">
                  <c:v>-2.4278709677419354</c:v>
                </c:pt>
                <c:pt idx="39">
                  <c:v>-2.3267096774193545</c:v>
                </c:pt>
                <c:pt idx="40">
                  <c:v>-2.2255483870967741</c:v>
                </c:pt>
                <c:pt idx="41">
                  <c:v>-2.1243870967741936</c:v>
                </c:pt>
                <c:pt idx="42">
                  <c:v>-2.0232258064516131</c:v>
                </c:pt>
                <c:pt idx="43">
                  <c:v>-1.9220645161290317</c:v>
                </c:pt>
                <c:pt idx="44">
                  <c:v>-1.8209032258064513</c:v>
                </c:pt>
                <c:pt idx="45">
                  <c:v>-1.7197419354838708</c:v>
                </c:pt>
                <c:pt idx="46">
                  <c:v>-1.6185806451612903</c:v>
                </c:pt>
                <c:pt idx="47">
                  <c:v>-1.5174193548387098</c:v>
                </c:pt>
                <c:pt idx="48">
                  <c:v>-1.4162580645161293</c:v>
                </c:pt>
                <c:pt idx="49">
                  <c:v>-1.315096774193548</c:v>
                </c:pt>
                <c:pt idx="50">
                  <c:v>-1.2139354838709675</c:v>
                </c:pt>
                <c:pt idx="51">
                  <c:v>-1.112774193548387</c:v>
                </c:pt>
                <c:pt idx="52">
                  <c:v>-1.0116129032258057</c:v>
                </c:pt>
                <c:pt idx="53">
                  <c:v>-0.91045161290322518</c:v>
                </c:pt>
                <c:pt idx="54">
                  <c:v>-0.80929032258064471</c:v>
                </c:pt>
                <c:pt idx="55">
                  <c:v>-0.70812903225806334</c:v>
                </c:pt>
                <c:pt idx="56">
                  <c:v>-0.60696774193548286</c:v>
                </c:pt>
                <c:pt idx="57">
                  <c:v>-0.50580645161290327</c:v>
                </c:pt>
                <c:pt idx="58">
                  <c:v>-0.4046451612903228</c:v>
                </c:pt>
                <c:pt idx="59">
                  <c:v>-0.30348387096774232</c:v>
                </c:pt>
                <c:pt idx="60">
                  <c:v>-0.20232258064516095</c:v>
                </c:pt>
                <c:pt idx="61">
                  <c:v>-0.10116129032258048</c:v>
                </c:pt>
                <c:pt idx="6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9D-44F7-882C-B8A434D25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83240"/>
        <c:axId val="123081280"/>
      </c:scatterChart>
      <c:valAx>
        <c:axId val="123083240"/>
        <c:scaling>
          <c:orientation val="minMax"/>
          <c:max val="0.6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53762685914261"/>
              <c:y val="0.887361111111111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81280"/>
        <c:crosses val="autoZero"/>
        <c:crossBetween val="midCat"/>
      </c:valAx>
      <c:valAx>
        <c:axId val="12308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モーメント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M [N•m]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2.5000000000000001E-2"/>
              <c:y val="0.237661854768153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8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'実験2-SFD図とBMD図'!$E$4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'実験2-SFD図とBMD図'!$D$5:$D$67</c:f>
              <c:numCache>
                <c:formatCode>General</c:formatCode>
                <c:ptCount val="6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</c:numCache>
            </c:numRef>
          </c:xVal>
          <c:yVal>
            <c:numRef>
              <c:f>'実験2-SFD図とBMD図'!$E$5:$E$67</c:f>
              <c:numCache>
                <c:formatCode>General</c:formatCode>
                <c:ptCount val="63"/>
                <c:pt idx="0">
                  <c:v>-9.4838709677419359</c:v>
                </c:pt>
                <c:pt idx="1">
                  <c:v>-9.4838709677419359</c:v>
                </c:pt>
                <c:pt idx="2">
                  <c:v>-9.4838709677419359</c:v>
                </c:pt>
                <c:pt idx="3">
                  <c:v>-9.4838709677419359</c:v>
                </c:pt>
                <c:pt idx="4">
                  <c:v>-9.4838709677419359</c:v>
                </c:pt>
                <c:pt idx="5">
                  <c:v>-9.4838709677419359</c:v>
                </c:pt>
                <c:pt idx="6">
                  <c:v>-9.4838709677419359</c:v>
                </c:pt>
                <c:pt idx="7">
                  <c:v>-9.4838709677419359</c:v>
                </c:pt>
                <c:pt idx="8">
                  <c:v>-9.4838709677419359</c:v>
                </c:pt>
                <c:pt idx="9">
                  <c:v>-9.4838709677419359</c:v>
                </c:pt>
                <c:pt idx="10">
                  <c:v>-9.4838709677419359</c:v>
                </c:pt>
                <c:pt idx="11">
                  <c:v>-9.4838709677419359</c:v>
                </c:pt>
                <c:pt idx="12">
                  <c:v>-9.4838709677419359</c:v>
                </c:pt>
                <c:pt idx="13">
                  <c:v>-9.4838709677419359</c:v>
                </c:pt>
                <c:pt idx="14">
                  <c:v>-9.4838709677419359</c:v>
                </c:pt>
                <c:pt idx="15">
                  <c:v>-9.4838709677419359</c:v>
                </c:pt>
                <c:pt idx="16">
                  <c:v>-9.4838709677419359</c:v>
                </c:pt>
                <c:pt idx="17">
                  <c:v>-9.4838709677419359</c:v>
                </c:pt>
                <c:pt idx="18">
                  <c:v>-9.4838709677419359</c:v>
                </c:pt>
                <c:pt idx="19">
                  <c:v>-9.4838709677419359</c:v>
                </c:pt>
                <c:pt idx="20">
                  <c:v>-9.4838709677419359</c:v>
                </c:pt>
                <c:pt idx="21">
                  <c:v>-9.4838709677419359</c:v>
                </c:pt>
                <c:pt idx="22">
                  <c:v>-9.4838709677419359</c:v>
                </c:pt>
                <c:pt idx="23">
                  <c:v>-9.4838709677419359</c:v>
                </c:pt>
                <c:pt idx="24">
                  <c:v>-9.4838709677419359</c:v>
                </c:pt>
                <c:pt idx="25">
                  <c:v>-9.4838709677419359</c:v>
                </c:pt>
                <c:pt idx="26">
                  <c:v>-9.4838709677419359</c:v>
                </c:pt>
                <c:pt idx="27">
                  <c:v>-9.4838709677419359</c:v>
                </c:pt>
                <c:pt idx="28">
                  <c:v>-9.4838709677419359</c:v>
                </c:pt>
                <c:pt idx="29">
                  <c:v>-9.4838709677419359</c:v>
                </c:pt>
                <c:pt idx="30">
                  <c:v>-9.4838709677419359</c:v>
                </c:pt>
                <c:pt idx="31">
                  <c:v>-9.4838709677419359</c:v>
                </c:pt>
                <c:pt idx="32">
                  <c:v>-9.4838709677419359</c:v>
                </c:pt>
                <c:pt idx="33">
                  <c:v>10.116129032258065</c:v>
                </c:pt>
                <c:pt idx="34">
                  <c:v>10.116129032258065</c:v>
                </c:pt>
                <c:pt idx="35">
                  <c:v>10.116129032258065</c:v>
                </c:pt>
                <c:pt idx="36">
                  <c:v>10.116129032258065</c:v>
                </c:pt>
                <c:pt idx="37">
                  <c:v>10.116129032258065</c:v>
                </c:pt>
                <c:pt idx="38">
                  <c:v>10.116129032258065</c:v>
                </c:pt>
                <c:pt idx="39">
                  <c:v>10.116129032258065</c:v>
                </c:pt>
                <c:pt idx="40">
                  <c:v>10.116129032258065</c:v>
                </c:pt>
                <c:pt idx="41">
                  <c:v>10.116129032258065</c:v>
                </c:pt>
                <c:pt idx="42">
                  <c:v>10.116129032258065</c:v>
                </c:pt>
                <c:pt idx="43">
                  <c:v>10.116129032258065</c:v>
                </c:pt>
                <c:pt idx="44">
                  <c:v>10.116129032258065</c:v>
                </c:pt>
                <c:pt idx="45">
                  <c:v>10.116129032258065</c:v>
                </c:pt>
                <c:pt idx="46">
                  <c:v>10.116129032258065</c:v>
                </c:pt>
                <c:pt idx="47">
                  <c:v>10.116129032258065</c:v>
                </c:pt>
                <c:pt idx="48">
                  <c:v>10.116129032258065</c:v>
                </c:pt>
                <c:pt idx="49">
                  <c:v>10.116129032258065</c:v>
                </c:pt>
                <c:pt idx="50">
                  <c:v>10.116129032258065</c:v>
                </c:pt>
                <c:pt idx="51">
                  <c:v>10.116129032258065</c:v>
                </c:pt>
                <c:pt idx="52">
                  <c:v>10.116129032258065</c:v>
                </c:pt>
                <c:pt idx="53">
                  <c:v>10.116129032258065</c:v>
                </c:pt>
                <c:pt idx="54">
                  <c:v>10.116129032258065</c:v>
                </c:pt>
                <c:pt idx="55">
                  <c:v>10.116129032258065</c:v>
                </c:pt>
                <c:pt idx="56">
                  <c:v>10.116129032258065</c:v>
                </c:pt>
                <c:pt idx="57">
                  <c:v>10.116129032258065</c:v>
                </c:pt>
                <c:pt idx="58">
                  <c:v>10.116129032258065</c:v>
                </c:pt>
                <c:pt idx="59">
                  <c:v>10.116129032258065</c:v>
                </c:pt>
                <c:pt idx="60">
                  <c:v>10.116129032258065</c:v>
                </c:pt>
                <c:pt idx="61">
                  <c:v>10.116129032258065</c:v>
                </c:pt>
                <c:pt idx="62">
                  <c:v>10.116129032258065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7A-4829-9827-2388E4A17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80496"/>
        <c:axId val="123082064"/>
      </c:scatterChart>
      <c:valAx>
        <c:axId val="123080496"/>
        <c:scaling>
          <c:orientation val="minMax"/>
          <c:max val="0.6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en-US" altLang="ja-JP" sz="105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sz="105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 sz="105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7979046369203798"/>
              <c:y val="0.89662037037037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82064"/>
        <c:crosses val="autoZero"/>
        <c:crossBetween val="midCat"/>
      </c:valAx>
      <c:valAx>
        <c:axId val="1230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力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F [N]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8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'実験3-SFDとBMD'!$C$7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'実験3-SFDとBMD'!$B$8:$B$119</c:f>
              <c:numCache>
                <c:formatCode>General</c:formatCode>
                <c:ptCount val="11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0.11</c:v>
                </c:pt>
                <c:pt idx="16">
                  <c:v>0.12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0.15</c:v>
                </c:pt>
                <c:pt idx="20">
                  <c:v>0.16</c:v>
                </c:pt>
                <c:pt idx="21">
                  <c:v>0.17</c:v>
                </c:pt>
                <c:pt idx="22">
                  <c:v>0.18</c:v>
                </c:pt>
                <c:pt idx="23">
                  <c:v>0.182</c:v>
                </c:pt>
                <c:pt idx="24">
                  <c:v>0.184</c:v>
                </c:pt>
                <c:pt idx="25">
                  <c:v>0.186</c:v>
                </c:pt>
                <c:pt idx="26">
                  <c:v>0.188</c:v>
                </c:pt>
                <c:pt idx="27">
                  <c:v>0.19</c:v>
                </c:pt>
                <c:pt idx="28">
                  <c:v>0.192</c:v>
                </c:pt>
                <c:pt idx="29">
                  <c:v>0.19400000000000001</c:v>
                </c:pt>
                <c:pt idx="30">
                  <c:v>0.19600000000000001</c:v>
                </c:pt>
                <c:pt idx="31">
                  <c:v>0.19800000000000001</c:v>
                </c:pt>
                <c:pt idx="32">
                  <c:v>0.2</c:v>
                </c:pt>
                <c:pt idx="33">
                  <c:v>0.21</c:v>
                </c:pt>
                <c:pt idx="34">
                  <c:v>0.22</c:v>
                </c:pt>
                <c:pt idx="35">
                  <c:v>0.23</c:v>
                </c:pt>
                <c:pt idx="36">
                  <c:v>0.24</c:v>
                </c:pt>
                <c:pt idx="37">
                  <c:v>0.25</c:v>
                </c:pt>
                <c:pt idx="38">
                  <c:v>0.26</c:v>
                </c:pt>
                <c:pt idx="39">
                  <c:v>0.27</c:v>
                </c:pt>
                <c:pt idx="40">
                  <c:v>0.28000000000000003</c:v>
                </c:pt>
                <c:pt idx="41">
                  <c:v>0.28999999999999998</c:v>
                </c:pt>
                <c:pt idx="42">
                  <c:v>0.3</c:v>
                </c:pt>
                <c:pt idx="43">
                  <c:v>0.31</c:v>
                </c:pt>
                <c:pt idx="44">
                  <c:v>0.32</c:v>
                </c:pt>
                <c:pt idx="45">
                  <c:v>0.33</c:v>
                </c:pt>
                <c:pt idx="46">
                  <c:v>0.34</c:v>
                </c:pt>
                <c:pt idx="47">
                  <c:v>0.35</c:v>
                </c:pt>
                <c:pt idx="48">
                  <c:v>0.36</c:v>
                </c:pt>
                <c:pt idx="49">
                  <c:v>0.37</c:v>
                </c:pt>
                <c:pt idx="50">
                  <c:v>0.38</c:v>
                </c:pt>
                <c:pt idx="51">
                  <c:v>0.38200000000000001</c:v>
                </c:pt>
                <c:pt idx="52">
                  <c:v>0.38400000000000001</c:v>
                </c:pt>
                <c:pt idx="53">
                  <c:v>0.38600000000000001</c:v>
                </c:pt>
                <c:pt idx="54">
                  <c:v>0.38800000000000001</c:v>
                </c:pt>
                <c:pt idx="55">
                  <c:v>0.39</c:v>
                </c:pt>
                <c:pt idx="56">
                  <c:v>0.39200000000000002</c:v>
                </c:pt>
                <c:pt idx="57">
                  <c:v>0.39400000000000002</c:v>
                </c:pt>
                <c:pt idx="58">
                  <c:v>0.39600000000000002</c:v>
                </c:pt>
                <c:pt idx="59">
                  <c:v>0.39800000000000002</c:v>
                </c:pt>
                <c:pt idx="60">
                  <c:v>0.4</c:v>
                </c:pt>
                <c:pt idx="61">
                  <c:v>0.41</c:v>
                </c:pt>
                <c:pt idx="62">
                  <c:v>0.42</c:v>
                </c:pt>
                <c:pt idx="63">
                  <c:v>0.43</c:v>
                </c:pt>
                <c:pt idx="64">
                  <c:v>0.44</c:v>
                </c:pt>
                <c:pt idx="65">
                  <c:v>0.45</c:v>
                </c:pt>
                <c:pt idx="66">
                  <c:v>0.46</c:v>
                </c:pt>
                <c:pt idx="67">
                  <c:v>0.47</c:v>
                </c:pt>
                <c:pt idx="68">
                  <c:v>0.48</c:v>
                </c:pt>
                <c:pt idx="69">
                  <c:v>0.49</c:v>
                </c:pt>
                <c:pt idx="70">
                  <c:v>0.5</c:v>
                </c:pt>
                <c:pt idx="71">
                  <c:v>0.51</c:v>
                </c:pt>
                <c:pt idx="72">
                  <c:v>0.52</c:v>
                </c:pt>
                <c:pt idx="73">
                  <c:v>0.53</c:v>
                </c:pt>
                <c:pt idx="74">
                  <c:v>0.54</c:v>
                </c:pt>
                <c:pt idx="75">
                  <c:v>0.55000000000000004</c:v>
                </c:pt>
                <c:pt idx="76">
                  <c:v>0.56000000000000005</c:v>
                </c:pt>
                <c:pt idx="77">
                  <c:v>0.56999999999999995</c:v>
                </c:pt>
                <c:pt idx="78">
                  <c:v>0.57999999999999996</c:v>
                </c:pt>
                <c:pt idx="79">
                  <c:v>0.59</c:v>
                </c:pt>
                <c:pt idx="80">
                  <c:v>0.59199999999999997</c:v>
                </c:pt>
                <c:pt idx="81">
                  <c:v>0.59399999999999997</c:v>
                </c:pt>
                <c:pt idx="82">
                  <c:v>0.59599999999999997</c:v>
                </c:pt>
                <c:pt idx="83">
                  <c:v>0.59799999999999998</c:v>
                </c:pt>
                <c:pt idx="84">
                  <c:v>0.6</c:v>
                </c:pt>
                <c:pt idx="85">
                  <c:v>0.60199999999999998</c:v>
                </c:pt>
                <c:pt idx="86">
                  <c:v>0.60399999999999998</c:v>
                </c:pt>
                <c:pt idx="87">
                  <c:v>0.60599999999999998</c:v>
                </c:pt>
                <c:pt idx="88">
                  <c:v>0.60799999999999998</c:v>
                </c:pt>
                <c:pt idx="89">
                  <c:v>0.61</c:v>
                </c:pt>
                <c:pt idx="90">
                  <c:v>0.62</c:v>
                </c:pt>
                <c:pt idx="91">
                  <c:v>0.63</c:v>
                </c:pt>
                <c:pt idx="92">
                  <c:v>0.64</c:v>
                </c:pt>
                <c:pt idx="93">
                  <c:v>0.65</c:v>
                </c:pt>
                <c:pt idx="94">
                  <c:v>0.66</c:v>
                </c:pt>
                <c:pt idx="95">
                  <c:v>0.67</c:v>
                </c:pt>
                <c:pt idx="96">
                  <c:v>0.68</c:v>
                </c:pt>
                <c:pt idx="97">
                  <c:v>0.69</c:v>
                </c:pt>
                <c:pt idx="98">
                  <c:v>0.7</c:v>
                </c:pt>
                <c:pt idx="99">
                  <c:v>0.71</c:v>
                </c:pt>
                <c:pt idx="100">
                  <c:v>0.72</c:v>
                </c:pt>
                <c:pt idx="101">
                  <c:v>0.73</c:v>
                </c:pt>
                <c:pt idx="102">
                  <c:v>0.74</c:v>
                </c:pt>
                <c:pt idx="103">
                  <c:v>0.75</c:v>
                </c:pt>
                <c:pt idx="104">
                  <c:v>0.76</c:v>
                </c:pt>
                <c:pt idx="105">
                  <c:v>0.77</c:v>
                </c:pt>
                <c:pt idx="106">
                  <c:v>0.78</c:v>
                </c:pt>
                <c:pt idx="107">
                  <c:v>0.78200000000000003</c:v>
                </c:pt>
                <c:pt idx="108">
                  <c:v>0.78400000000000003</c:v>
                </c:pt>
                <c:pt idx="109">
                  <c:v>0.78600000000000003</c:v>
                </c:pt>
                <c:pt idx="110">
                  <c:v>0.78800000000000003</c:v>
                </c:pt>
                <c:pt idx="111">
                  <c:v>0.79</c:v>
                </c:pt>
              </c:numCache>
            </c:numRef>
          </c:xVal>
          <c:yVal>
            <c:numRef>
              <c:f>'実験3-SFDとBMD'!$C$8:$C$119</c:f>
              <c:numCache>
                <c:formatCode>General</c:formatCode>
                <c:ptCount val="112"/>
                <c:pt idx="0">
                  <c:v>0</c:v>
                </c:pt>
                <c:pt idx="1">
                  <c:v>-6.38</c:v>
                </c:pt>
                <c:pt idx="2">
                  <c:v>-6.38</c:v>
                </c:pt>
                <c:pt idx="3">
                  <c:v>-6.38</c:v>
                </c:pt>
                <c:pt idx="4">
                  <c:v>-6.38</c:v>
                </c:pt>
                <c:pt idx="5">
                  <c:v>-6.38</c:v>
                </c:pt>
                <c:pt idx="6">
                  <c:v>-6.38</c:v>
                </c:pt>
                <c:pt idx="7">
                  <c:v>-6.38</c:v>
                </c:pt>
                <c:pt idx="8">
                  <c:v>-6.38</c:v>
                </c:pt>
                <c:pt idx="9">
                  <c:v>-6.38</c:v>
                </c:pt>
                <c:pt idx="10">
                  <c:v>-6.38</c:v>
                </c:pt>
                <c:pt idx="11">
                  <c:v>-6.38</c:v>
                </c:pt>
                <c:pt idx="12">
                  <c:v>-6.38</c:v>
                </c:pt>
                <c:pt idx="13">
                  <c:v>-6.38</c:v>
                </c:pt>
                <c:pt idx="14">
                  <c:v>-6.38</c:v>
                </c:pt>
                <c:pt idx="15">
                  <c:v>-6.38</c:v>
                </c:pt>
                <c:pt idx="16">
                  <c:v>-6.38</c:v>
                </c:pt>
                <c:pt idx="17">
                  <c:v>-6.38</c:v>
                </c:pt>
                <c:pt idx="18">
                  <c:v>-6.38</c:v>
                </c:pt>
                <c:pt idx="19">
                  <c:v>-6.38</c:v>
                </c:pt>
                <c:pt idx="20">
                  <c:v>-6.38</c:v>
                </c:pt>
                <c:pt idx="21">
                  <c:v>-6.38</c:v>
                </c:pt>
                <c:pt idx="22">
                  <c:v>-6.38</c:v>
                </c:pt>
                <c:pt idx="23">
                  <c:v>-6.38</c:v>
                </c:pt>
                <c:pt idx="24">
                  <c:v>-6.38</c:v>
                </c:pt>
                <c:pt idx="25">
                  <c:v>-6.38</c:v>
                </c:pt>
                <c:pt idx="26">
                  <c:v>-6.38</c:v>
                </c:pt>
                <c:pt idx="27">
                  <c:v>0</c:v>
                </c:pt>
                <c:pt idx="28">
                  <c:v>13.22</c:v>
                </c:pt>
                <c:pt idx="29">
                  <c:v>13.22</c:v>
                </c:pt>
                <c:pt idx="30">
                  <c:v>13.22</c:v>
                </c:pt>
                <c:pt idx="31">
                  <c:v>13.22</c:v>
                </c:pt>
                <c:pt idx="32">
                  <c:v>13.22</c:v>
                </c:pt>
                <c:pt idx="33">
                  <c:v>13.22</c:v>
                </c:pt>
                <c:pt idx="34">
                  <c:v>13.22</c:v>
                </c:pt>
                <c:pt idx="35">
                  <c:v>13.22</c:v>
                </c:pt>
                <c:pt idx="36">
                  <c:v>13.22</c:v>
                </c:pt>
                <c:pt idx="37">
                  <c:v>13.22</c:v>
                </c:pt>
                <c:pt idx="38">
                  <c:v>13.22</c:v>
                </c:pt>
                <c:pt idx="39">
                  <c:v>13.22</c:v>
                </c:pt>
                <c:pt idx="40">
                  <c:v>13.22</c:v>
                </c:pt>
                <c:pt idx="41">
                  <c:v>13.22</c:v>
                </c:pt>
                <c:pt idx="42">
                  <c:v>13.22</c:v>
                </c:pt>
                <c:pt idx="43">
                  <c:v>13.22</c:v>
                </c:pt>
                <c:pt idx="44">
                  <c:v>13.22</c:v>
                </c:pt>
                <c:pt idx="45">
                  <c:v>13.22</c:v>
                </c:pt>
                <c:pt idx="46">
                  <c:v>13.22</c:v>
                </c:pt>
                <c:pt idx="47">
                  <c:v>13.22</c:v>
                </c:pt>
                <c:pt idx="48">
                  <c:v>13.22</c:v>
                </c:pt>
                <c:pt idx="49">
                  <c:v>13.22</c:v>
                </c:pt>
                <c:pt idx="50">
                  <c:v>13.22</c:v>
                </c:pt>
                <c:pt idx="51">
                  <c:v>13.22</c:v>
                </c:pt>
                <c:pt idx="52">
                  <c:v>13.22</c:v>
                </c:pt>
                <c:pt idx="53">
                  <c:v>13.22</c:v>
                </c:pt>
                <c:pt idx="54">
                  <c:v>13.22</c:v>
                </c:pt>
                <c:pt idx="55">
                  <c:v>0</c:v>
                </c:pt>
                <c:pt idx="56">
                  <c:v>-12.88</c:v>
                </c:pt>
                <c:pt idx="57">
                  <c:v>-12.88</c:v>
                </c:pt>
                <c:pt idx="58">
                  <c:v>-12.88</c:v>
                </c:pt>
                <c:pt idx="59">
                  <c:v>-12.88</c:v>
                </c:pt>
                <c:pt idx="60">
                  <c:v>-12.88</c:v>
                </c:pt>
                <c:pt idx="61">
                  <c:v>-12.88</c:v>
                </c:pt>
                <c:pt idx="62">
                  <c:v>-12.88</c:v>
                </c:pt>
                <c:pt idx="63">
                  <c:v>-12.88</c:v>
                </c:pt>
                <c:pt idx="64">
                  <c:v>-12.88</c:v>
                </c:pt>
                <c:pt idx="65">
                  <c:v>-12.88</c:v>
                </c:pt>
                <c:pt idx="66">
                  <c:v>-12.88</c:v>
                </c:pt>
                <c:pt idx="67">
                  <c:v>-12.88</c:v>
                </c:pt>
                <c:pt idx="68">
                  <c:v>-12.88</c:v>
                </c:pt>
                <c:pt idx="69">
                  <c:v>-12.88</c:v>
                </c:pt>
                <c:pt idx="70">
                  <c:v>-12.88</c:v>
                </c:pt>
                <c:pt idx="71">
                  <c:v>-12.88</c:v>
                </c:pt>
                <c:pt idx="72">
                  <c:v>-12.88</c:v>
                </c:pt>
                <c:pt idx="73">
                  <c:v>-12.88</c:v>
                </c:pt>
                <c:pt idx="74">
                  <c:v>-12.88</c:v>
                </c:pt>
                <c:pt idx="75">
                  <c:v>-12.88</c:v>
                </c:pt>
                <c:pt idx="76">
                  <c:v>-12.88</c:v>
                </c:pt>
                <c:pt idx="77">
                  <c:v>-12.88</c:v>
                </c:pt>
                <c:pt idx="78">
                  <c:v>-12.88</c:v>
                </c:pt>
                <c:pt idx="79">
                  <c:v>-12.88</c:v>
                </c:pt>
                <c:pt idx="80">
                  <c:v>-12.88</c:v>
                </c:pt>
                <c:pt idx="81">
                  <c:v>-12.88</c:v>
                </c:pt>
                <c:pt idx="82">
                  <c:v>-12.88</c:v>
                </c:pt>
                <c:pt idx="83">
                  <c:v>-12.88</c:v>
                </c:pt>
                <c:pt idx="84">
                  <c:v>0</c:v>
                </c:pt>
                <c:pt idx="85">
                  <c:v>6.72</c:v>
                </c:pt>
                <c:pt idx="86">
                  <c:v>6.72</c:v>
                </c:pt>
                <c:pt idx="87">
                  <c:v>6.72</c:v>
                </c:pt>
                <c:pt idx="88">
                  <c:v>6.72</c:v>
                </c:pt>
                <c:pt idx="89">
                  <c:v>6.72</c:v>
                </c:pt>
                <c:pt idx="90">
                  <c:v>6.72</c:v>
                </c:pt>
                <c:pt idx="91">
                  <c:v>6.72</c:v>
                </c:pt>
                <c:pt idx="92">
                  <c:v>6.72</c:v>
                </c:pt>
                <c:pt idx="93">
                  <c:v>6.72</c:v>
                </c:pt>
                <c:pt idx="94">
                  <c:v>6.72</c:v>
                </c:pt>
                <c:pt idx="95">
                  <c:v>6.72</c:v>
                </c:pt>
                <c:pt idx="96">
                  <c:v>6.72</c:v>
                </c:pt>
                <c:pt idx="97">
                  <c:v>6.72</c:v>
                </c:pt>
                <c:pt idx="98">
                  <c:v>6.72</c:v>
                </c:pt>
                <c:pt idx="99">
                  <c:v>6.72</c:v>
                </c:pt>
                <c:pt idx="100">
                  <c:v>6.72</c:v>
                </c:pt>
                <c:pt idx="101">
                  <c:v>6.72</c:v>
                </c:pt>
                <c:pt idx="102">
                  <c:v>6.72</c:v>
                </c:pt>
                <c:pt idx="103">
                  <c:v>6.72</c:v>
                </c:pt>
                <c:pt idx="104">
                  <c:v>6.72</c:v>
                </c:pt>
                <c:pt idx="105">
                  <c:v>6.72</c:v>
                </c:pt>
                <c:pt idx="106">
                  <c:v>6.72</c:v>
                </c:pt>
                <c:pt idx="107">
                  <c:v>6.72</c:v>
                </c:pt>
                <c:pt idx="108">
                  <c:v>6.72</c:v>
                </c:pt>
                <c:pt idx="109">
                  <c:v>6.72</c:v>
                </c:pt>
                <c:pt idx="110">
                  <c:v>6.72</c:v>
                </c:pt>
                <c:pt idx="11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BC-49D5-95E6-98C67F7E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79320"/>
        <c:axId val="123073832"/>
      </c:scatterChart>
      <c:valAx>
        <c:axId val="123079320"/>
        <c:scaling>
          <c:orientation val="minMax"/>
          <c:max val="0.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66945664941054"/>
              <c:y val="0.935897435897436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73832"/>
        <c:crosses val="autoZero"/>
        <c:crossBetween val="midCat"/>
      </c:valAx>
      <c:valAx>
        <c:axId val="1230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せん断力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Q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[N]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7932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'実験3-SFDとBMD'!$E$7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'実験3-SFDとBMD'!$D$8:$D$119</c:f>
              <c:numCache>
                <c:formatCode>General</c:formatCode>
                <c:ptCount val="11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0.11</c:v>
                </c:pt>
                <c:pt idx="16">
                  <c:v>0.12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0.15</c:v>
                </c:pt>
                <c:pt idx="20">
                  <c:v>0.16</c:v>
                </c:pt>
                <c:pt idx="21">
                  <c:v>0.17</c:v>
                </c:pt>
                <c:pt idx="22">
                  <c:v>0.18</c:v>
                </c:pt>
                <c:pt idx="23">
                  <c:v>0.182</c:v>
                </c:pt>
                <c:pt idx="24">
                  <c:v>0.184</c:v>
                </c:pt>
                <c:pt idx="25">
                  <c:v>0.186</c:v>
                </c:pt>
                <c:pt idx="26">
                  <c:v>0.188</c:v>
                </c:pt>
                <c:pt idx="27">
                  <c:v>0.19</c:v>
                </c:pt>
                <c:pt idx="28">
                  <c:v>0.192</c:v>
                </c:pt>
                <c:pt idx="29">
                  <c:v>0.19400000000000001</c:v>
                </c:pt>
                <c:pt idx="30">
                  <c:v>0.19600000000000001</c:v>
                </c:pt>
                <c:pt idx="31">
                  <c:v>0.19800000000000001</c:v>
                </c:pt>
                <c:pt idx="32">
                  <c:v>0.2</c:v>
                </c:pt>
                <c:pt idx="33">
                  <c:v>0.21</c:v>
                </c:pt>
                <c:pt idx="34">
                  <c:v>0.22</c:v>
                </c:pt>
                <c:pt idx="35">
                  <c:v>0.23</c:v>
                </c:pt>
                <c:pt idx="36">
                  <c:v>0.24</c:v>
                </c:pt>
                <c:pt idx="37">
                  <c:v>0.25</c:v>
                </c:pt>
                <c:pt idx="38">
                  <c:v>0.26</c:v>
                </c:pt>
                <c:pt idx="39">
                  <c:v>0.27</c:v>
                </c:pt>
                <c:pt idx="40">
                  <c:v>0.28000000000000003</c:v>
                </c:pt>
                <c:pt idx="41">
                  <c:v>0.28999999999999998</c:v>
                </c:pt>
                <c:pt idx="42">
                  <c:v>0.3</c:v>
                </c:pt>
                <c:pt idx="43">
                  <c:v>0.31</c:v>
                </c:pt>
                <c:pt idx="44">
                  <c:v>0.32</c:v>
                </c:pt>
                <c:pt idx="45">
                  <c:v>0.33</c:v>
                </c:pt>
                <c:pt idx="46">
                  <c:v>0.34</c:v>
                </c:pt>
                <c:pt idx="47">
                  <c:v>0.35</c:v>
                </c:pt>
                <c:pt idx="48">
                  <c:v>0.36</c:v>
                </c:pt>
                <c:pt idx="49">
                  <c:v>0.37</c:v>
                </c:pt>
                <c:pt idx="50">
                  <c:v>0.38</c:v>
                </c:pt>
                <c:pt idx="51">
                  <c:v>0.38200000000000001</c:v>
                </c:pt>
                <c:pt idx="52">
                  <c:v>0.38400000000000001</c:v>
                </c:pt>
                <c:pt idx="53">
                  <c:v>0.38600000000000001</c:v>
                </c:pt>
                <c:pt idx="54">
                  <c:v>0.38800000000000001</c:v>
                </c:pt>
                <c:pt idx="55">
                  <c:v>0.39</c:v>
                </c:pt>
                <c:pt idx="56">
                  <c:v>0.39200000000000002</c:v>
                </c:pt>
                <c:pt idx="57">
                  <c:v>0.39400000000000002</c:v>
                </c:pt>
                <c:pt idx="58">
                  <c:v>0.39600000000000002</c:v>
                </c:pt>
                <c:pt idx="59">
                  <c:v>0.39800000000000002</c:v>
                </c:pt>
                <c:pt idx="60">
                  <c:v>0.4</c:v>
                </c:pt>
                <c:pt idx="61">
                  <c:v>0.41</c:v>
                </c:pt>
                <c:pt idx="62">
                  <c:v>0.42</c:v>
                </c:pt>
                <c:pt idx="63">
                  <c:v>0.43</c:v>
                </c:pt>
                <c:pt idx="64">
                  <c:v>0.44</c:v>
                </c:pt>
                <c:pt idx="65">
                  <c:v>0.45</c:v>
                </c:pt>
                <c:pt idx="66">
                  <c:v>0.46</c:v>
                </c:pt>
                <c:pt idx="67">
                  <c:v>0.47</c:v>
                </c:pt>
                <c:pt idx="68">
                  <c:v>0.48</c:v>
                </c:pt>
                <c:pt idx="69">
                  <c:v>0.49</c:v>
                </c:pt>
                <c:pt idx="70">
                  <c:v>0.5</c:v>
                </c:pt>
                <c:pt idx="71">
                  <c:v>0.51</c:v>
                </c:pt>
                <c:pt idx="72">
                  <c:v>0.52</c:v>
                </c:pt>
                <c:pt idx="73">
                  <c:v>0.53</c:v>
                </c:pt>
                <c:pt idx="74">
                  <c:v>0.54</c:v>
                </c:pt>
                <c:pt idx="75">
                  <c:v>0.55000000000000004</c:v>
                </c:pt>
                <c:pt idx="76">
                  <c:v>0.56000000000000005</c:v>
                </c:pt>
                <c:pt idx="77">
                  <c:v>0.56999999999999995</c:v>
                </c:pt>
                <c:pt idx="78">
                  <c:v>0.57999999999999996</c:v>
                </c:pt>
                <c:pt idx="79">
                  <c:v>0.59</c:v>
                </c:pt>
                <c:pt idx="80">
                  <c:v>0.59199999999999997</c:v>
                </c:pt>
                <c:pt idx="81">
                  <c:v>0.59399999999999997</c:v>
                </c:pt>
                <c:pt idx="82">
                  <c:v>0.59599999999999997</c:v>
                </c:pt>
                <c:pt idx="83">
                  <c:v>0.59799999999999998</c:v>
                </c:pt>
                <c:pt idx="84">
                  <c:v>0.6</c:v>
                </c:pt>
                <c:pt idx="85">
                  <c:v>0.60199999999999998</c:v>
                </c:pt>
                <c:pt idx="86">
                  <c:v>0.60399999999999998</c:v>
                </c:pt>
                <c:pt idx="87">
                  <c:v>0.60599999999999998</c:v>
                </c:pt>
                <c:pt idx="88">
                  <c:v>0.60799999999999998</c:v>
                </c:pt>
                <c:pt idx="89">
                  <c:v>0.61</c:v>
                </c:pt>
                <c:pt idx="90">
                  <c:v>0.62</c:v>
                </c:pt>
                <c:pt idx="91">
                  <c:v>0.63</c:v>
                </c:pt>
                <c:pt idx="92">
                  <c:v>0.64</c:v>
                </c:pt>
                <c:pt idx="93">
                  <c:v>0.65</c:v>
                </c:pt>
                <c:pt idx="94">
                  <c:v>0.66</c:v>
                </c:pt>
                <c:pt idx="95">
                  <c:v>0.67</c:v>
                </c:pt>
                <c:pt idx="96">
                  <c:v>0.68</c:v>
                </c:pt>
                <c:pt idx="97">
                  <c:v>0.69</c:v>
                </c:pt>
                <c:pt idx="98">
                  <c:v>0.7</c:v>
                </c:pt>
                <c:pt idx="99">
                  <c:v>0.71</c:v>
                </c:pt>
                <c:pt idx="100">
                  <c:v>0.72</c:v>
                </c:pt>
                <c:pt idx="101">
                  <c:v>0.73</c:v>
                </c:pt>
                <c:pt idx="102">
                  <c:v>0.74</c:v>
                </c:pt>
                <c:pt idx="103">
                  <c:v>0.75</c:v>
                </c:pt>
                <c:pt idx="104">
                  <c:v>0.76</c:v>
                </c:pt>
                <c:pt idx="105">
                  <c:v>0.77</c:v>
                </c:pt>
                <c:pt idx="106">
                  <c:v>0.78</c:v>
                </c:pt>
                <c:pt idx="107">
                  <c:v>0.78200000000000003</c:v>
                </c:pt>
                <c:pt idx="108">
                  <c:v>0.78400000000000003</c:v>
                </c:pt>
                <c:pt idx="109">
                  <c:v>0.78600000000000003</c:v>
                </c:pt>
                <c:pt idx="110">
                  <c:v>0.78800000000000003</c:v>
                </c:pt>
                <c:pt idx="111">
                  <c:v>0.79</c:v>
                </c:pt>
              </c:numCache>
            </c:numRef>
          </c:xVal>
          <c:yVal>
            <c:numRef>
              <c:f>'実験3-SFDとBMD'!$E$8:$E$119</c:f>
              <c:numCache>
                <c:formatCode>General</c:formatCode>
                <c:ptCount val="112"/>
                <c:pt idx="0">
                  <c:v>0</c:v>
                </c:pt>
                <c:pt idx="1">
                  <c:v>-1.2760000000000001E-2</c:v>
                </c:pt>
                <c:pt idx="2">
                  <c:v>-2.5520000000000001E-2</c:v>
                </c:pt>
                <c:pt idx="3">
                  <c:v>-3.8280000000000002E-2</c:v>
                </c:pt>
                <c:pt idx="4">
                  <c:v>-5.1040000000000002E-2</c:v>
                </c:pt>
                <c:pt idx="5">
                  <c:v>-6.3799999999999996E-2</c:v>
                </c:pt>
                <c:pt idx="6">
                  <c:v>-0.12759999999999999</c:v>
                </c:pt>
                <c:pt idx="7">
                  <c:v>-0.19139999999999999</c:v>
                </c:pt>
                <c:pt idx="8">
                  <c:v>-0.25519999999999998</c:v>
                </c:pt>
                <c:pt idx="9">
                  <c:v>-0.31900000000000001</c:v>
                </c:pt>
                <c:pt idx="10">
                  <c:v>-0.38279999999999997</c:v>
                </c:pt>
                <c:pt idx="11">
                  <c:v>-0.44660000000000005</c:v>
                </c:pt>
                <c:pt idx="12">
                  <c:v>-0.51039999999999996</c:v>
                </c:pt>
                <c:pt idx="13">
                  <c:v>-0.57419999999999993</c:v>
                </c:pt>
                <c:pt idx="14">
                  <c:v>-0.63800000000000001</c:v>
                </c:pt>
                <c:pt idx="15">
                  <c:v>-0.70179999999999998</c:v>
                </c:pt>
                <c:pt idx="16">
                  <c:v>-0.76559999999999995</c:v>
                </c:pt>
                <c:pt idx="17">
                  <c:v>-0.82940000000000003</c:v>
                </c:pt>
                <c:pt idx="18">
                  <c:v>-0.8932000000000001</c:v>
                </c:pt>
                <c:pt idx="19">
                  <c:v>-0.95699999999999996</c:v>
                </c:pt>
                <c:pt idx="20">
                  <c:v>-1.0207999999999999</c:v>
                </c:pt>
                <c:pt idx="21">
                  <c:v>-1.0846</c:v>
                </c:pt>
                <c:pt idx="22">
                  <c:v>-1.1483999999999999</c:v>
                </c:pt>
                <c:pt idx="23">
                  <c:v>-1.16116</c:v>
                </c:pt>
                <c:pt idx="24">
                  <c:v>-1.1739199999999999</c:v>
                </c:pt>
                <c:pt idx="25">
                  <c:v>-1.18668</c:v>
                </c:pt>
                <c:pt idx="26">
                  <c:v>-1.1994400000000001</c:v>
                </c:pt>
                <c:pt idx="27">
                  <c:v>-1.2121999999999999</c:v>
                </c:pt>
                <c:pt idx="28">
                  <c:v>-1.1857600000000001</c:v>
                </c:pt>
                <c:pt idx="29">
                  <c:v>-1.1593200000000001</c:v>
                </c:pt>
                <c:pt idx="30">
                  <c:v>-1.1328800000000001</c:v>
                </c:pt>
                <c:pt idx="31">
                  <c:v>-1.1064400000000001</c:v>
                </c:pt>
                <c:pt idx="32">
                  <c:v>-1.08</c:v>
                </c:pt>
                <c:pt idx="33">
                  <c:v>-0.94779999999999998</c:v>
                </c:pt>
                <c:pt idx="34">
                  <c:v>-0.81559999999999988</c:v>
                </c:pt>
                <c:pt idx="35">
                  <c:v>-0.68339999999999979</c:v>
                </c:pt>
                <c:pt idx="36">
                  <c:v>-0.55120000000000013</c:v>
                </c:pt>
                <c:pt idx="37">
                  <c:v>-0.41900000000000004</c:v>
                </c:pt>
                <c:pt idx="38">
                  <c:v>-0.28679999999999994</c:v>
                </c:pt>
                <c:pt idx="39">
                  <c:v>-0.15459999999999985</c:v>
                </c:pt>
                <c:pt idx="40">
                  <c:v>-2.2399999999999753E-2</c:v>
                </c:pt>
                <c:pt idx="41">
                  <c:v>0.1097999999999999</c:v>
                </c:pt>
                <c:pt idx="42">
                  <c:v>0.24199999999999999</c:v>
                </c:pt>
                <c:pt idx="43">
                  <c:v>0.37420000000000009</c:v>
                </c:pt>
                <c:pt idx="44">
                  <c:v>0.50640000000000018</c:v>
                </c:pt>
                <c:pt idx="45">
                  <c:v>0.63860000000000028</c:v>
                </c:pt>
                <c:pt idx="46">
                  <c:v>0.77080000000000037</c:v>
                </c:pt>
                <c:pt idx="47">
                  <c:v>0.90299999999999958</c:v>
                </c:pt>
                <c:pt idx="48">
                  <c:v>1.0351999999999997</c:v>
                </c:pt>
                <c:pt idx="49">
                  <c:v>1.1673999999999998</c:v>
                </c:pt>
                <c:pt idx="50">
                  <c:v>1.2995999999999999</c:v>
                </c:pt>
                <c:pt idx="51">
                  <c:v>1.3260399999999999</c:v>
                </c:pt>
                <c:pt idx="52">
                  <c:v>1.3524799999999999</c:v>
                </c:pt>
                <c:pt idx="53">
                  <c:v>1.3789199999999999</c:v>
                </c:pt>
                <c:pt idx="54">
                  <c:v>1.4053599999999999</c:v>
                </c:pt>
                <c:pt idx="55">
                  <c:v>1.4318</c:v>
                </c:pt>
                <c:pt idx="56">
                  <c:v>1.40604</c:v>
                </c:pt>
                <c:pt idx="57">
                  <c:v>1.38028</c:v>
                </c:pt>
                <c:pt idx="58">
                  <c:v>1.3545199999999999</c:v>
                </c:pt>
                <c:pt idx="59">
                  <c:v>1.3287599999999991</c:v>
                </c:pt>
                <c:pt idx="60">
                  <c:v>1.302999999999999</c:v>
                </c:pt>
                <c:pt idx="61">
                  <c:v>1.1741999999999999</c:v>
                </c:pt>
                <c:pt idx="62">
                  <c:v>1.0453999999999999</c:v>
                </c:pt>
                <c:pt idx="63">
                  <c:v>0.91659999999999986</c:v>
                </c:pt>
                <c:pt idx="64">
                  <c:v>0.78779999999999983</c:v>
                </c:pt>
                <c:pt idx="65">
                  <c:v>0.65899999999999981</c:v>
                </c:pt>
                <c:pt idx="66">
                  <c:v>0.53019999999999978</c:v>
                </c:pt>
                <c:pt idx="67">
                  <c:v>0.40139999999999976</c:v>
                </c:pt>
                <c:pt idx="68">
                  <c:v>0.27259999999999973</c:v>
                </c:pt>
                <c:pt idx="69">
                  <c:v>0.14379999999999971</c:v>
                </c:pt>
                <c:pt idx="70">
                  <c:v>1.499999999999968E-2</c:v>
                </c:pt>
                <c:pt idx="71">
                  <c:v>-0.11380000000000035</c:v>
                </c:pt>
                <c:pt idx="72">
                  <c:v>-0.24260000000000037</c:v>
                </c:pt>
                <c:pt idx="73">
                  <c:v>-0.3714000000000004</c:v>
                </c:pt>
                <c:pt idx="74">
                  <c:v>-0.50020000000000042</c:v>
                </c:pt>
                <c:pt idx="75">
                  <c:v>-0.62900000000000134</c:v>
                </c:pt>
                <c:pt idx="76">
                  <c:v>-0.75780000000000136</c:v>
                </c:pt>
                <c:pt idx="77">
                  <c:v>-0.88659999999999961</c:v>
                </c:pt>
                <c:pt idx="78">
                  <c:v>-1.0153999999999996</c:v>
                </c:pt>
                <c:pt idx="79">
                  <c:v>-1.1441999999999997</c:v>
                </c:pt>
                <c:pt idx="80">
                  <c:v>-1.1699599999999997</c:v>
                </c:pt>
                <c:pt idx="81">
                  <c:v>-1.1957199999999997</c:v>
                </c:pt>
                <c:pt idx="82">
                  <c:v>-1.2214799999999997</c:v>
                </c:pt>
                <c:pt idx="83">
                  <c:v>-1.2472399999999997</c:v>
                </c:pt>
                <c:pt idx="84">
                  <c:v>-1.2729999999999997</c:v>
                </c:pt>
                <c:pt idx="85">
                  <c:v>-1.2595599999999996</c:v>
                </c:pt>
                <c:pt idx="86">
                  <c:v>-1.2461200000000003</c:v>
                </c:pt>
                <c:pt idx="87">
                  <c:v>-1.2326800000000002</c:v>
                </c:pt>
                <c:pt idx="88">
                  <c:v>-1.2192400000000001</c:v>
                </c:pt>
                <c:pt idx="89">
                  <c:v>-1.2058</c:v>
                </c:pt>
                <c:pt idx="90">
                  <c:v>-1.1386000000000003</c:v>
                </c:pt>
                <c:pt idx="91">
                  <c:v>-1.0713999999999997</c:v>
                </c:pt>
                <c:pt idx="92">
                  <c:v>-1.0042</c:v>
                </c:pt>
                <c:pt idx="93">
                  <c:v>-0.93699999999999939</c:v>
                </c:pt>
                <c:pt idx="94">
                  <c:v>-0.86979999999999968</c:v>
                </c:pt>
                <c:pt idx="95">
                  <c:v>-0.80259999999999998</c:v>
                </c:pt>
                <c:pt idx="96">
                  <c:v>-0.73539999999999939</c:v>
                </c:pt>
                <c:pt idx="97">
                  <c:v>-0.66820000000000057</c:v>
                </c:pt>
                <c:pt idx="98">
                  <c:v>-0.60099999999999998</c:v>
                </c:pt>
                <c:pt idx="99">
                  <c:v>-0.53380000000000027</c:v>
                </c:pt>
                <c:pt idx="100">
                  <c:v>-0.46659999999999968</c:v>
                </c:pt>
                <c:pt idx="101">
                  <c:v>-0.39939999999999998</c:v>
                </c:pt>
                <c:pt idx="102">
                  <c:v>-0.33220000000000027</c:v>
                </c:pt>
                <c:pt idx="103">
                  <c:v>-0.26499999999999968</c:v>
                </c:pt>
                <c:pt idx="104">
                  <c:v>-0.19779999999999998</c:v>
                </c:pt>
                <c:pt idx="105">
                  <c:v>-0.13059999999999938</c:v>
                </c:pt>
                <c:pt idx="106">
                  <c:v>-6.3399999999999679E-2</c:v>
                </c:pt>
                <c:pt idx="107">
                  <c:v>-4.995999999999956E-2</c:v>
                </c:pt>
                <c:pt idx="108">
                  <c:v>-3.6519999999999442E-2</c:v>
                </c:pt>
                <c:pt idx="109">
                  <c:v>-2.3079999999999323E-2</c:v>
                </c:pt>
                <c:pt idx="110">
                  <c:v>-9.6400000000000929E-3</c:v>
                </c:pt>
                <c:pt idx="111">
                  <c:v>3.8000000000000256E-3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0FC-45B2-A688-EBAF1541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78536"/>
        <c:axId val="123078928"/>
      </c:scatterChart>
      <c:valAx>
        <c:axId val="123078536"/>
        <c:scaling>
          <c:orientation val="minMax"/>
          <c:max val="0.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2473888438363799"/>
              <c:y val="0.91050925925925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78928"/>
        <c:crosses val="autoZero"/>
        <c:crossBetween val="midCat"/>
      </c:valAx>
      <c:valAx>
        <c:axId val="12307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モーメント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M [N•m]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1230785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解析2!$B$18</c:f>
              <c:strCache>
                <c:ptCount val="1"/>
                <c:pt idx="0">
                  <c:v>孔径比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解析2!$B$19:$B$23</c:f>
              <c:numCache>
                <c:formatCode>0.000</c:formatCode>
                <c:ptCount val="5"/>
                <c:pt idx="0" formatCode="0.00">
                  <c:v>0.1</c:v>
                </c:pt>
                <c:pt idx="1">
                  <c:v>0.16700000000000001</c:v>
                </c:pt>
                <c:pt idx="2" formatCode="0.00">
                  <c:v>0.27</c:v>
                </c:pt>
                <c:pt idx="3" formatCode="0.00">
                  <c:v>0.37</c:v>
                </c:pt>
                <c:pt idx="4" formatCode="0.00">
                  <c:v>0.5</c:v>
                </c:pt>
              </c:numCache>
            </c:numRef>
          </c:xVal>
          <c:yVal>
            <c:numRef>
              <c:f>解析2!$A$19:$A$23</c:f>
              <c:numCache>
                <c:formatCode>General</c:formatCode>
                <c:ptCount val="5"/>
                <c:pt idx="0">
                  <c:v>2.62</c:v>
                </c:pt>
                <c:pt idx="1">
                  <c:v>2.48</c:v>
                </c:pt>
                <c:pt idx="2" formatCode="0.00">
                  <c:v>2.3199999999999998</c:v>
                </c:pt>
                <c:pt idx="3">
                  <c:v>2.19</c:v>
                </c:pt>
                <c:pt idx="4">
                  <c:v>2.12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B0-47AB-9C71-C47FEDF60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77752"/>
        <c:axId val="123067952"/>
      </c:scatterChart>
      <c:valAx>
        <c:axId val="12307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</a:rPr>
                  <a:t>孔径比　</a:t>
                </a:r>
                <a:r>
                  <a:rPr lang="en-US" altLang="ja-JP">
                    <a:solidFill>
                      <a:schemeClr val="tx1"/>
                    </a:solidFill>
                    <a:latin typeface="Times New Roman" panose="02020603050405020304" pitchFamily="18" charset="0"/>
                    <a:ea typeface="ＭＳ Ｐ明朝" panose="02020600040205080304" pitchFamily="18" charset="-128"/>
                    <a:cs typeface="Times New Roman" panose="02020603050405020304" pitchFamily="18" charset="0"/>
                  </a:rPr>
                  <a:t>2a/W</a:t>
                </a:r>
                <a:endParaRPr lang="ja-JP" altLang="en-US">
                  <a:solidFill>
                    <a:schemeClr val="tx1"/>
                  </a:solidFill>
                  <a:latin typeface="Times New Roman" panose="02020603050405020304" pitchFamily="18" charset="0"/>
                  <a:ea typeface="ＭＳ Ｐ明朝" panose="02020600040205080304" pitchFamily="18" charset="-128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345901552808692"/>
              <c:y val="0.902445759368835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明朝" panose="02020600040205080304" pitchFamily="18" charset="-128"/>
                  <a:ea typeface="ＭＳ Ｐ明朝" panose="02020600040205080304" pitchFamily="18" charset="-128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067952"/>
        <c:crosses val="autoZero"/>
        <c:crossBetween val="midCat"/>
      </c:valAx>
      <c:valAx>
        <c:axId val="12306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ＭＳ Ｐ明朝" panose="02020600040205080304" pitchFamily="18" charset="-128"/>
                    <a:cs typeface="Times New Roman" panose="02020603050405020304" pitchFamily="18" charset="0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panose="02020603050405020304" pitchFamily="18" charset="0"/>
                    <a:ea typeface="ＭＳ Ｐ明朝" panose="02020600040205080304" pitchFamily="18" charset="-128"/>
                    <a:cs typeface="Times New Roman" panose="02020603050405020304" pitchFamily="18" charset="0"/>
                  </a:rPr>
                  <a:t>応力集中係数　</a:t>
                </a:r>
                <a:r>
                  <a:rPr lang="en-US" altLang="ja-JP">
                    <a:solidFill>
                      <a:schemeClr val="tx1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Times New Roman" panose="02020603050405020304" pitchFamily="18" charset="0"/>
                  </a:rPr>
                  <a:t>κ</a:t>
                </a:r>
                <a:endParaRPr lang="ja-JP" altLang="en-US">
                  <a:solidFill>
                    <a:schemeClr val="tx1"/>
                  </a:solidFill>
                  <a:latin typeface="Cambria Math" panose="02040503050406030204" pitchFamily="18" charset="0"/>
                  <a:ea typeface="ＭＳ Ｐ明朝" panose="02020600040205080304" pitchFamily="18" charset="-128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4897579143389199E-2"/>
              <c:y val="0.315585270776064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ＭＳ Ｐ明朝" panose="02020600040205080304" pitchFamily="18" charset="-128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0777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解析2!$C$27</c:f>
              <c:strCache>
                <c:ptCount val="1"/>
                <c:pt idx="0">
                  <c:v>応力集中係数κ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解析2!$B$28:$B$31</c:f>
              <c:numCache>
                <c:formatCode>General</c:formatCode>
                <c:ptCount val="4"/>
                <c:pt idx="0">
                  <c:v>805</c:v>
                </c:pt>
                <c:pt idx="1">
                  <c:v>251</c:v>
                </c:pt>
                <c:pt idx="2">
                  <c:v>48</c:v>
                </c:pt>
                <c:pt idx="3">
                  <c:v>20</c:v>
                </c:pt>
              </c:numCache>
            </c:numRef>
          </c:xVal>
          <c:yVal>
            <c:numRef>
              <c:f>解析2!$C$28:$C$31</c:f>
              <c:numCache>
                <c:formatCode>General</c:formatCode>
                <c:ptCount val="4"/>
                <c:pt idx="0">
                  <c:v>2.19</c:v>
                </c:pt>
                <c:pt idx="1">
                  <c:v>2.13</c:v>
                </c:pt>
                <c:pt idx="2" formatCode="0.00">
                  <c:v>2.2000000000000002</c:v>
                </c:pt>
                <c:pt idx="3">
                  <c:v>2.2400000000000002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5A-4771-8013-4863C7A8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69912"/>
        <c:axId val="123076968"/>
      </c:scatterChart>
      <c:valAx>
        <c:axId val="123069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</a:rPr>
                  <a:t>要素数 </a:t>
                </a:r>
                <a:r>
                  <a:rPr lang="en-US" altLang="ja-JP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</a:rPr>
                  <a:t>[</a:t>
                </a:r>
                <a:r>
                  <a:rPr lang="ja-JP" altLang="en-US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</a:rPr>
                  <a:t>個</a:t>
                </a:r>
                <a:r>
                  <a:rPr lang="en-US" altLang="ja-JP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</a:rPr>
                  <a:t>]</a:t>
                </a:r>
                <a:endParaRPr lang="ja-JP" altLang="en-US">
                  <a:solidFill>
                    <a:schemeClr val="tx1"/>
                  </a:solidFill>
                  <a:latin typeface="ＭＳ Ｐ明朝" panose="02020600040205080304" pitchFamily="18" charset="-128"/>
                  <a:ea typeface="ＭＳ Ｐ明朝" panose="02020600040205080304" pitchFamily="18" charset="-128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076968"/>
        <c:crosses val="autoZero"/>
        <c:crossBetween val="midCat"/>
      </c:valAx>
      <c:valAx>
        <c:axId val="1230769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ＭＳ Ｐ明朝" panose="02020600040205080304" pitchFamily="18" charset="-128"/>
                    <a:ea typeface="ＭＳ Ｐ明朝" panose="02020600040205080304" pitchFamily="18" charset="-128"/>
                  </a:rPr>
                  <a:t>応力集中係数　</a:t>
                </a:r>
                <a:r>
                  <a:rPr lang="en-US" altLang="ja-JP">
                    <a:solidFill>
                      <a:schemeClr val="tx1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</a:rPr>
                  <a:t>κ</a:t>
                </a:r>
                <a:endParaRPr lang="ja-JP" altLang="en-US">
                  <a:solidFill>
                    <a:schemeClr val="tx1"/>
                  </a:solidFill>
                  <a:latin typeface="Cambria Math" panose="02040503050406030204" pitchFamily="18" charset="0"/>
                  <a:ea typeface="ＭＳ Ｐ明朝" panose="02020600040205080304" pitchFamily="18" charset="-128"/>
                </a:endParaRPr>
              </a:p>
            </c:rich>
          </c:tx>
          <c:layout>
            <c:manualLayout>
              <c:xMode val="edge"/>
              <c:yMode val="edge"/>
              <c:x val="4.5548654244306402E-2"/>
              <c:y val="0.259425123942841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306991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11</xdr:row>
      <xdr:rowOff>47624</xdr:rowOff>
    </xdr:from>
    <xdr:to>
      <xdr:col>7</xdr:col>
      <xdr:colOff>47625</xdr:colOff>
      <xdr:row>28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583406</xdr:colOff>
      <xdr:row>11</xdr:row>
      <xdr:rowOff>47624</xdr:rowOff>
    </xdr:from>
    <xdr:to>
      <xdr:col>15</xdr:col>
      <xdr:colOff>23812</xdr:colOff>
      <xdr:row>27</xdr:row>
      <xdr:rowOff>186928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38100</xdr:rowOff>
        </xdr:from>
        <xdr:to>
          <xdr:col>2</xdr:col>
          <xdr:colOff>885825</xdr:colOff>
          <xdr:row>20</xdr:row>
          <xdr:rowOff>123825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698500</xdr:colOff>
      <xdr:row>22</xdr:row>
      <xdr:rowOff>76200</xdr:rowOff>
    </xdr:from>
    <xdr:to>
      <xdr:col>14</xdr:col>
      <xdr:colOff>381000</xdr:colOff>
      <xdr:row>34</xdr:row>
      <xdr:rowOff>76200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704850</xdr:colOff>
      <xdr:row>10</xdr:row>
      <xdr:rowOff>3175</xdr:rowOff>
    </xdr:from>
    <xdr:to>
      <xdr:col>14</xdr:col>
      <xdr:colOff>387350</xdr:colOff>
      <xdr:row>22</xdr:row>
      <xdr:rowOff>3175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1</xdr:row>
      <xdr:rowOff>12700</xdr:rowOff>
    </xdr:from>
    <xdr:to>
      <xdr:col>11</xdr:col>
      <xdr:colOff>863600</xdr:colOff>
      <xdr:row>16</xdr:row>
      <xdr:rowOff>50800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</xdr:colOff>
      <xdr:row>16</xdr:row>
      <xdr:rowOff>222250</xdr:rowOff>
    </xdr:from>
    <xdr:to>
      <xdr:col>11</xdr:col>
      <xdr:colOff>850900</xdr:colOff>
      <xdr:row>28</xdr:row>
      <xdr:rowOff>222250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9</xdr:row>
      <xdr:rowOff>228600</xdr:rowOff>
    </xdr:from>
    <xdr:to>
      <xdr:col>9</xdr:col>
      <xdr:colOff>666751</xdr:colOff>
      <xdr:row>22</xdr:row>
      <xdr:rowOff>228600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600075</xdr:colOff>
      <xdr:row>24</xdr:row>
      <xdr:rowOff>61912</xdr:rowOff>
    </xdr:from>
    <xdr:to>
      <xdr:col>10</xdr:col>
      <xdr:colOff>9525</xdr:colOff>
      <xdr:row>37</xdr:row>
      <xdr:rowOff>176212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5"/>
  <sheetViews>
    <sheetView zoomScale="66" zoomScaleNormal="66" workbookViewId="0">
      <selection activeCell="L42" sqref="L42"/>
    </sheetView>
  </sheetViews>
  <sheetFormatPr defaultColWidth="8.85546875" defaultRowHeight="15"/>
  <cols>
    <col min="1" max="2" width="8.85546875" style="41"/>
    <col min="3" max="3" width="24.85546875" style="41" customWidth="1"/>
    <col min="4" max="4" width="21.7109375" style="41" customWidth="1"/>
    <col min="5" max="5" width="13.140625" style="41" customWidth="1"/>
    <col min="6" max="6" width="16.140625" style="41" customWidth="1"/>
    <col min="7" max="7" width="8.85546875" style="41"/>
    <col min="8" max="8" width="16.140625" style="41" customWidth="1"/>
    <col min="9" max="9" width="8.85546875" style="41"/>
    <col min="10" max="10" width="14.28515625" style="41" customWidth="1"/>
    <col min="11" max="11" width="8.85546875" style="41"/>
    <col min="12" max="12" width="11.140625" style="41" customWidth="1"/>
    <col min="13" max="13" width="8.85546875" style="41"/>
    <col min="14" max="14" width="12" style="41" customWidth="1"/>
    <col min="15" max="16384" width="8.85546875" style="41"/>
  </cols>
  <sheetData>
    <row r="1" spans="1:10" ht="15.75" thickBot="1">
      <c r="A1" s="91" t="s">
        <v>65</v>
      </c>
      <c r="B1" s="92"/>
    </row>
    <row r="3" spans="1:10">
      <c r="B3" s="88" t="s">
        <v>59</v>
      </c>
      <c r="C3" s="49" t="s">
        <v>60</v>
      </c>
      <c r="D3" s="95" t="s">
        <v>68</v>
      </c>
      <c r="E3" s="96"/>
      <c r="F3" s="96"/>
      <c r="G3" s="96"/>
      <c r="H3" s="96"/>
      <c r="I3" s="96"/>
      <c r="J3" s="96"/>
    </row>
    <row r="4" spans="1:10">
      <c r="B4" s="88"/>
      <c r="C4" s="38" t="s">
        <v>67</v>
      </c>
      <c r="D4" s="96"/>
      <c r="E4" s="96"/>
      <c r="F4" s="96"/>
      <c r="G4" s="96"/>
      <c r="H4" s="96"/>
      <c r="I4" s="96"/>
      <c r="J4" s="96"/>
    </row>
    <row r="5" spans="1:10">
      <c r="B5" s="58"/>
      <c r="C5" s="69"/>
      <c r="D5" s="70"/>
      <c r="E5" s="70"/>
      <c r="F5" s="70"/>
      <c r="G5" s="70"/>
      <c r="H5" s="70"/>
      <c r="I5" s="70"/>
      <c r="J5" s="70"/>
    </row>
    <row r="6" spans="1:10">
      <c r="A6" s="93" t="s">
        <v>81</v>
      </c>
      <c r="B6" s="93"/>
      <c r="C6" s="69"/>
      <c r="D6" s="70"/>
      <c r="E6" s="70"/>
      <c r="F6" s="70"/>
      <c r="G6" s="70"/>
      <c r="H6" s="70"/>
      <c r="I6" s="70"/>
      <c r="J6" s="70"/>
    </row>
    <row r="7" spans="1:10">
      <c r="A7" s="69"/>
      <c r="B7" s="69" t="s">
        <v>100</v>
      </c>
      <c r="C7" s="69"/>
      <c r="D7" s="70"/>
      <c r="E7" s="70"/>
      <c r="F7" s="70"/>
      <c r="G7" s="70"/>
      <c r="H7" s="70"/>
      <c r="I7" s="70"/>
      <c r="J7" s="70"/>
    </row>
    <row r="8" spans="1:10" ht="15.75" thickBot="1">
      <c r="A8" s="37"/>
      <c r="B8" s="39" t="s">
        <v>82</v>
      </c>
      <c r="C8" s="39" t="s">
        <v>62</v>
      </c>
      <c r="D8" s="39" t="s">
        <v>84</v>
      </c>
      <c r="E8" s="70"/>
      <c r="F8" s="70"/>
      <c r="G8" s="70"/>
      <c r="H8" s="70"/>
      <c r="I8" s="70"/>
      <c r="J8" s="70"/>
    </row>
    <row r="9" spans="1:10" ht="15.75" thickTop="1">
      <c r="B9" s="40" t="s">
        <v>83</v>
      </c>
      <c r="C9" s="35">
        <v>207</v>
      </c>
      <c r="D9" s="35">
        <v>0.3</v>
      </c>
      <c r="E9" s="70"/>
      <c r="F9" s="70"/>
      <c r="G9" s="70"/>
      <c r="H9" s="70"/>
      <c r="I9" s="70"/>
      <c r="J9" s="70"/>
    </row>
    <row r="10" spans="1:10">
      <c r="B10" s="90" t="s">
        <v>101</v>
      </c>
      <c r="C10" s="90"/>
      <c r="D10" s="90"/>
      <c r="E10" s="70"/>
      <c r="F10" s="70"/>
      <c r="G10" s="70"/>
      <c r="H10" s="70"/>
      <c r="I10" s="70"/>
      <c r="J10" s="70"/>
    </row>
    <row r="11" spans="1:10" ht="15.75" thickBot="1">
      <c r="B11" s="39" t="s">
        <v>82</v>
      </c>
      <c r="C11" s="39" t="s">
        <v>62</v>
      </c>
      <c r="D11" s="39" t="s">
        <v>84</v>
      </c>
      <c r="E11" s="70"/>
      <c r="F11" s="70"/>
      <c r="G11" s="70"/>
      <c r="H11" s="70"/>
      <c r="I11" s="70"/>
      <c r="J11" s="70"/>
    </row>
    <row r="12" spans="1:10" ht="15.75" thickTop="1">
      <c r="B12" s="40" t="s">
        <v>83</v>
      </c>
      <c r="C12" s="35">
        <v>206</v>
      </c>
      <c r="D12" s="35">
        <v>0.3</v>
      </c>
      <c r="E12" s="70"/>
      <c r="F12" s="70"/>
      <c r="G12" s="70"/>
      <c r="H12" s="70"/>
      <c r="I12" s="70"/>
      <c r="J12" s="70"/>
    </row>
    <row r="13" spans="1:10">
      <c r="B13" s="90" t="s">
        <v>147</v>
      </c>
      <c r="C13" s="90"/>
      <c r="D13" s="90"/>
      <c r="E13" s="70"/>
      <c r="F13" s="70"/>
      <c r="G13" s="70"/>
      <c r="H13" s="70"/>
      <c r="I13" s="70"/>
      <c r="J13" s="70"/>
    </row>
    <row r="14" spans="1:10" ht="15.75" thickBot="1">
      <c r="B14" s="39" t="s">
        <v>82</v>
      </c>
      <c r="C14" s="39" t="s">
        <v>62</v>
      </c>
      <c r="D14" s="39" t="s">
        <v>84</v>
      </c>
      <c r="E14" s="70"/>
      <c r="F14" s="70"/>
      <c r="G14" s="70"/>
      <c r="H14" s="70"/>
      <c r="I14" s="70"/>
      <c r="J14" s="70"/>
    </row>
    <row r="15" spans="1:10" ht="15.75" thickTop="1">
      <c r="B15" s="40" t="s">
        <v>83</v>
      </c>
      <c r="C15" s="35">
        <v>206</v>
      </c>
      <c r="D15" s="35">
        <v>0.3</v>
      </c>
      <c r="E15" s="70"/>
      <c r="F15" s="70"/>
      <c r="G15" s="70"/>
      <c r="H15" s="70"/>
      <c r="I15" s="70"/>
      <c r="J15" s="70"/>
    </row>
    <row r="16" spans="1:10">
      <c r="B16" s="58"/>
      <c r="C16" s="69"/>
      <c r="D16" s="70"/>
      <c r="E16" s="70"/>
      <c r="F16" s="70"/>
      <c r="G16" s="70"/>
      <c r="H16" s="70"/>
      <c r="I16" s="70"/>
      <c r="J16" s="70"/>
    </row>
    <row r="17" spans="1:14">
      <c r="A17" s="113" t="s">
        <v>115</v>
      </c>
      <c r="B17" s="113"/>
      <c r="C17" s="69"/>
      <c r="D17" s="70"/>
      <c r="E17" s="70"/>
      <c r="F17" s="70"/>
      <c r="G17" s="70"/>
      <c r="H17" s="70"/>
      <c r="I17" s="70"/>
      <c r="J17" s="70"/>
    </row>
    <row r="18" spans="1:14" ht="15.75" thickBot="1">
      <c r="B18" s="1" t="s">
        <v>116</v>
      </c>
      <c r="C18" s="114" t="s">
        <v>127</v>
      </c>
      <c r="D18" s="115" t="s">
        <v>118</v>
      </c>
      <c r="E18" s="115" t="s">
        <v>119</v>
      </c>
      <c r="F18" s="70"/>
      <c r="G18" s="70"/>
      <c r="H18" s="70"/>
      <c r="I18" s="70"/>
      <c r="J18" s="70"/>
    </row>
    <row r="19" spans="1:14" ht="15.75" thickTop="1">
      <c r="B19" s="2"/>
      <c r="C19" s="57">
        <v>0.5</v>
      </c>
      <c r="D19" s="116">
        <f>'実験1-荷重とたわみの測定結果'!D8</f>
        <v>30.289000000000001</v>
      </c>
      <c r="E19" s="116">
        <f>'実験1-荷重とたわみの測定結果'!E8</f>
        <v>30.283999999999999</v>
      </c>
      <c r="F19" s="70"/>
      <c r="G19" s="70"/>
      <c r="H19" s="70"/>
      <c r="I19" s="70"/>
      <c r="J19" s="70"/>
    </row>
    <row r="20" spans="1:14">
      <c r="B20" s="58"/>
      <c r="C20" s="69"/>
      <c r="D20" s="70"/>
      <c r="E20" s="70"/>
      <c r="F20" s="70"/>
      <c r="G20" s="70"/>
      <c r="H20" s="70"/>
      <c r="I20" s="70"/>
      <c r="J20" s="70"/>
    </row>
    <row r="21" spans="1:14">
      <c r="A21" s="101" t="s">
        <v>54</v>
      </c>
      <c r="B21" s="101"/>
      <c r="C21" s="101"/>
      <c r="D21" s="70"/>
      <c r="E21" s="70"/>
      <c r="F21" s="70"/>
      <c r="G21" s="70"/>
      <c r="H21" s="70"/>
      <c r="I21" s="70"/>
      <c r="J21" s="70"/>
    </row>
    <row r="22" spans="1:14">
      <c r="B22" s="42"/>
      <c r="C22" s="97" t="s">
        <v>75</v>
      </c>
      <c r="D22" s="98"/>
      <c r="E22" s="97" t="s">
        <v>78</v>
      </c>
      <c r="F22" s="98"/>
      <c r="G22" s="97" t="s">
        <v>79</v>
      </c>
      <c r="H22" s="98"/>
      <c r="I22" s="97" t="s">
        <v>80</v>
      </c>
      <c r="J22" s="98"/>
      <c r="K22" s="97" t="s">
        <v>76</v>
      </c>
      <c r="L22" s="98"/>
      <c r="M22" s="97" t="s">
        <v>77</v>
      </c>
      <c r="N22" s="98"/>
    </row>
    <row r="23" spans="1:14" ht="15.75" thickBot="1">
      <c r="B23" s="1" t="s">
        <v>0</v>
      </c>
      <c r="C23" s="1" t="s">
        <v>1</v>
      </c>
      <c r="D23" s="1" t="s">
        <v>2</v>
      </c>
      <c r="E23" s="1" t="s">
        <v>1</v>
      </c>
      <c r="F23" s="1" t="s">
        <v>2</v>
      </c>
      <c r="G23" s="1" t="s">
        <v>1</v>
      </c>
      <c r="H23" s="1" t="s">
        <v>2</v>
      </c>
      <c r="I23" s="1" t="s">
        <v>1</v>
      </c>
      <c r="J23" s="1" t="s">
        <v>2</v>
      </c>
      <c r="K23" s="1" t="s">
        <v>1</v>
      </c>
      <c r="L23" s="1" t="s">
        <v>2</v>
      </c>
      <c r="M23" s="1" t="s">
        <v>1</v>
      </c>
      <c r="N23" s="1" t="s">
        <v>2</v>
      </c>
    </row>
    <row r="24" spans="1:14" ht="15.75" thickTop="1">
      <c r="B24" s="2">
        <v>1</v>
      </c>
      <c r="C24" s="35">
        <v>20</v>
      </c>
      <c r="D24" s="35">
        <v>5.94</v>
      </c>
      <c r="E24" s="35">
        <v>21.9</v>
      </c>
      <c r="F24" s="35">
        <v>5.94</v>
      </c>
      <c r="G24" s="35">
        <v>21.9</v>
      </c>
      <c r="H24" s="35">
        <v>5.94</v>
      </c>
      <c r="I24" s="35">
        <v>21.9</v>
      </c>
      <c r="J24" s="35">
        <v>5</v>
      </c>
      <c r="K24" s="71">
        <f>AVERAGE(C24,E24,G24,I24)</f>
        <v>21.424999999999997</v>
      </c>
      <c r="L24" s="71">
        <f>AVERAGE(D24,F24,H24,J24)</f>
        <v>5.7050000000000001</v>
      </c>
      <c r="M24" s="71">
        <f t="shared" ref="M24:N26" si="0">_xlfn.VAR.S(C24,E24,G24,I24)</f>
        <v>0.90249999999999853</v>
      </c>
      <c r="N24" s="71">
        <f t="shared" si="0"/>
        <v>0.22090000000000018</v>
      </c>
    </row>
    <row r="25" spans="1:14">
      <c r="B25" s="3">
        <v>2</v>
      </c>
      <c r="C25" s="36">
        <v>31.88</v>
      </c>
      <c r="D25" s="36">
        <v>4.9400000000000004</v>
      </c>
      <c r="E25" s="36">
        <v>31.88</v>
      </c>
      <c r="F25" s="36">
        <v>4.9400000000000004</v>
      </c>
      <c r="G25" s="74">
        <v>31.88</v>
      </c>
      <c r="H25" s="36">
        <v>4.9400000000000004</v>
      </c>
      <c r="I25" s="36">
        <v>31.88</v>
      </c>
      <c r="J25" s="36">
        <v>4.9400000000000004</v>
      </c>
      <c r="K25" s="71">
        <f t="shared" ref="K25:K26" si="1">AVERAGE(C25,E25,G25,I25)</f>
        <v>31.88</v>
      </c>
      <c r="L25" s="71">
        <f t="shared" ref="L25:L26" si="2">AVERAGE(D25,F25,H25,J25)</f>
        <v>4.9400000000000004</v>
      </c>
      <c r="M25" s="71">
        <f t="shared" si="0"/>
        <v>0</v>
      </c>
      <c r="N25" s="71">
        <f t="shared" si="0"/>
        <v>0</v>
      </c>
    </row>
    <row r="26" spans="1:14">
      <c r="B26" s="3">
        <v>3</v>
      </c>
      <c r="C26" s="36">
        <v>31.9</v>
      </c>
      <c r="D26" s="36">
        <v>4.9400000000000004</v>
      </c>
      <c r="E26" s="36">
        <v>31.9</v>
      </c>
      <c r="F26" s="36">
        <v>4.95</v>
      </c>
      <c r="G26" s="36">
        <v>31.9</v>
      </c>
      <c r="H26" s="36">
        <v>4.95</v>
      </c>
      <c r="I26" s="36">
        <v>31.2</v>
      </c>
      <c r="J26" s="36">
        <v>4</v>
      </c>
      <c r="K26" s="71">
        <f t="shared" si="1"/>
        <v>31.724999999999998</v>
      </c>
      <c r="L26" s="71">
        <f t="shared" si="2"/>
        <v>4.71</v>
      </c>
      <c r="M26" s="71">
        <f t="shared" si="0"/>
        <v>0.12249999999999976</v>
      </c>
      <c r="N26" s="71">
        <f t="shared" si="0"/>
        <v>0.22406666666666678</v>
      </c>
    </row>
    <row r="28" spans="1:14">
      <c r="A28" s="101" t="s">
        <v>54</v>
      </c>
      <c r="B28" s="101"/>
      <c r="C28" s="101"/>
    </row>
    <row r="29" spans="1:14">
      <c r="B29" s="42"/>
      <c r="C29" s="99" t="s">
        <v>55</v>
      </c>
      <c r="D29" s="98"/>
      <c r="E29" s="99" t="s">
        <v>56</v>
      </c>
      <c r="F29" s="98"/>
      <c r="G29" s="88" t="s">
        <v>57</v>
      </c>
      <c r="H29" s="88"/>
      <c r="I29" s="99" t="s">
        <v>58</v>
      </c>
      <c r="J29" s="98"/>
    </row>
    <row r="30" spans="1:14" ht="15.75" thickBot="1">
      <c r="B30" s="1" t="s">
        <v>0</v>
      </c>
      <c r="C30" s="1" t="s">
        <v>1</v>
      </c>
      <c r="D30" s="1" t="s">
        <v>2</v>
      </c>
      <c r="E30" s="1" t="s">
        <v>1</v>
      </c>
      <c r="F30" s="1" t="s">
        <v>2</v>
      </c>
      <c r="G30" s="1" t="s">
        <v>1</v>
      </c>
      <c r="H30" s="1" t="s">
        <v>2</v>
      </c>
      <c r="I30" s="1" t="s">
        <v>1</v>
      </c>
      <c r="J30" s="1" t="s">
        <v>2</v>
      </c>
    </row>
    <row r="31" spans="1:14" ht="15.75" thickTop="1">
      <c r="B31" s="2">
        <v>1</v>
      </c>
      <c r="C31" s="71">
        <f>K24</f>
        <v>21.424999999999997</v>
      </c>
      <c r="D31" s="71">
        <f>L24</f>
        <v>5.7050000000000001</v>
      </c>
      <c r="E31" s="72">
        <v>20</v>
      </c>
      <c r="F31" s="73">
        <v>6</v>
      </c>
      <c r="G31" s="43">
        <f>C31-E31</f>
        <v>1.4249999999999972</v>
      </c>
      <c r="H31" s="44">
        <f>D31-F31</f>
        <v>-0.29499999999999993</v>
      </c>
      <c r="I31" s="45">
        <f>G31/E31</f>
        <v>7.1249999999999855E-2</v>
      </c>
      <c r="J31" s="45">
        <f>H31/F31</f>
        <v>-4.9166666666666657E-2</v>
      </c>
    </row>
    <row r="32" spans="1:14">
      <c r="B32" s="3">
        <v>2</v>
      </c>
      <c r="C32" s="30">
        <f>K25</f>
        <v>31.88</v>
      </c>
      <c r="D32" s="71">
        <f t="shared" ref="D32:D33" si="3">L25</f>
        <v>4.9400000000000004</v>
      </c>
      <c r="E32" s="74">
        <v>32</v>
      </c>
      <c r="F32" s="75">
        <v>5</v>
      </c>
      <c r="G32" s="46">
        <f t="shared" ref="G32:G33" si="4">C32-E32</f>
        <v>-0.12000000000000099</v>
      </c>
      <c r="H32" s="47">
        <f t="shared" ref="H32:H33" si="5">D32-F32</f>
        <v>-5.9999999999999609E-2</v>
      </c>
      <c r="I32" s="48">
        <f t="shared" ref="I32:I33" si="6">G32/E32</f>
        <v>-3.7500000000000311E-3</v>
      </c>
      <c r="J32" s="48">
        <f t="shared" ref="J32:J33" si="7">H32/F32</f>
        <v>-1.1999999999999922E-2</v>
      </c>
    </row>
    <row r="33" spans="1:13">
      <c r="B33" s="3">
        <v>3</v>
      </c>
      <c r="C33" s="30">
        <f>K26</f>
        <v>31.724999999999998</v>
      </c>
      <c r="D33" s="71">
        <f t="shared" si="3"/>
        <v>4.71</v>
      </c>
      <c r="E33" s="74">
        <v>32</v>
      </c>
      <c r="F33" s="75">
        <v>5</v>
      </c>
      <c r="G33" s="46">
        <f t="shared" si="4"/>
        <v>-0.27500000000000213</v>
      </c>
      <c r="H33" s="47">
        <f t="shared" si="5"/>
        <v>-0.29000000000000004</v>
      </c>
      <c r="I33" s="48">
        <f t="shared" si="6"/>
        <v>-8.5937500000000666E-3</v>
      </c>
      <c r="J33" s="48">
        <f t="shared" si="7"/>
        <v>-5.800000000000001E-2</v>
      </c>
    </row>
    <row r="34" spans="1:13">
      <c r="M34" s="54"/>
    </row>
    <row r="35" spans="1:13">
      <c r="A35" s="93" t="s">
        <v>63</v>
      </c>
      <c r="B35" s="101"/>
      <c r="C35" s="101"/>
    </row>
    <row r="36" spans="1:13" ht="18.75" customHeight="1">
      <c r="B36" s="41" t="s">
        <v>98</v>
      </c>
    </row>
    <row r="37" spans="1:13">
      <c r="B37" s="42"/>
      <c r="C37" s="97" t="s">
        <v>52</v>
      </c>
      <c r="D37" s="98"/>
      <c r="E37" s="99" t="s">
        <v>56</v>
      </c>
      <c r="F37" s="98"/>
      <c r="G37" s="99" t="s">
        <v>57</v>
      </c>
      <c r="H37" s="98"/>
      <c r="I37" s="99" t="s">
        <v>58</v>
      </c>
      <c r="J37" s="98"/>
    </row>
    <row r="38" spans="1:13" ht="18.75" thickBot="1">
      <c r="B38" s="1" t="s">
        <v>0</v>
      </c>
      <c r="C38" s="1" t="s">
        <v>61</v>
      </c>
      <c r="D38" s="39" t="s">
        <v>117</v>
      </c>
      <c r="E38" s="1" t="s">
        <v>61</v>
      </c>
      <c r="F38" s="39" t="s">
        <v>117</v>
      </c>
      <c r="G38" s="1" t="s">
        <v>61</v>
      </c>
      <c r="H38" s="39" t="s">
        <v>117</v>
      </c>
      <c r="I38" s="1" t="s">
        <v>61</v>
      </c>
      <c r="J38" s="39" t="s">
        <v>117</v>
      </c>
    </row>
    <row r="39" spans="1:13" ht="15.75" thickTop="1">
      <c r="B39" s="2">
        <v>1</v>
      </c>
      <c r="C39" s="53">
        <f>(C31*(D31^3))/12</f>
        <v>331.51755505130205</v>
      </c>
      <c r="D39" s="76">
        <f>($D$19*(10^3)*($C$19^3)/(48*(C39*(10^(-12)))))/(10^9)</f>
        <v>237.92889083795407</v>
      </c>
      <c r="E39" s="76">
        <f>(E31*(F31^3))/12</f>
        <v>360</v>
      </c>
      <c r="F39" s="52">
        <f>$C$9</f>
        <v>207</v>
      </c>
      <c r="G39" s="77">
        <f>C39-E39</f>
        <v>-28.482444948697946</v>
      </c>
      <c r="H39" s="78">
        <f>D39-F39</f>
        <v>30.928890837954071</v>
      </c>
      <c r="I39" s="45">
        <f>G39/E39</f>
        <v>-7.9117902635272075E-2</v>
      </c>
      <c r="J39" s="45">
        <f>H39/F39</f>
        <v>0.14941493158431918</v>
      </c>
    </row>
    <row r="40" spans="1:13">
      <c r="A40" s="50"/>
      <c r="B40" s="2">
        <v>2</v>
      </c>
      <c r="C40" s="53">
        <f>(C32*(D32^3))/12</f>
        <v>320.27121949333343</v>
      </c>
      <c r="D40" s="76">
        <f t="shared" ref="D40:D41" si="8">($D$19*(10^3)*($C$19^3)/(48*(C40*(10^(-12)))))/(10^9)</f>
        <v>246.28377252083538</v>
      </c>
      <c r="E40" s="76">
        <f>(E32*(F32^3))/12</f>
        <v>333.33333333333331</v>
      </c>
      <c r="F40" s="34">
        <f t="shared" ref="F40:F41" si="9">$C$9</f>
        <v>207</v>
      </c>
      <c r="G40" s="77">
        <f t="shared" ref="G40:G41" si="10">C40-E40</f>
        <v>-13.062113839999881</v>
      </c>
      <c r="H40" s="78">
        <f t="shared" ref="H40:H41" si="11">D40-F40</f>
        <v>39.283772520835385</v>
      </c>
      <c r="I40" s="45">
        <f t="shared" ref="I40:I41" si="12">G40/E40</f>
        <v>-3.9186341519999647E-2</v>
      </c>
      <c r="J40" s="45">
        <f t="shared" ref="J40:J41" si="13">H40/F40</f>
        <v>0.18977667884461538</v>
      </c>
    </row>
    <row r="41" spans="1:13">
      <c r="A41" s="51"/>
      <c r="B41" s="2">
        <v>3</v>
      </c>
      <c r="C41" s="53">
        <f>(C33*(D33^3))/12</f>
        <v>276.23779970624997</v>
      </c>
      <c r="D41" s="76">
        <f t="shared" si="8"/>
        <v>285.54239952151647</v>
      </c>
      <c r="E41" s="76">
        <f>(E33*(F33^3))/12</f>
        <v>333.33333333333331</v>
      </c>
      <c r="F41" s="34">
        <f t="shared" si="9"/>
        <v>207</v>
      </c>
      <c r="G41" s="77">
        <f t="shared" si="10"/>
        <v>-57.095533627083341</v>
      </c>
      <c r="H41" s="78">
        <f t="shared" si="11"/>
        <v>78.542399521516472</v>
      </c>
      <c r="I41" s="45">
        <f t="shared" si="12"/>
        <v>-0.17128660088125003</v>
      </c>
      <c r="J41" s="45">
        <f t="shared" si="13"/>
        <v>0.37943188174645637</v>
      </c>
    </row>
    <row r="42" spans="1:13">
      <c r="A42" s="50"/>
      <c r="B42" s="41" t="s">
        <v>99</v>
      </c>
      <c r="C42" s="50"/>
    </row>
    <row r="43" spans="1:13">
      <c r="A43" s="50"/>
      <c r="B43" s="42"/>
      <c r="C43" s="97" t="s">
        <v>33</v>
      </c>
      <c r="D43" s="98"/>
      <c r="E43" s="99" t="s">
        <v>56</v>
      </c>
      <c r="F43" s="98"/>
      <c r="G43" s="99" t="s">
        <v>57</v>
      </c>
      <c r="H43" s="98"/>
      <c r="I43" s="99" t="s">
        <v>58</v>
      </c>
      <c r="J43" s="98"/>
    </row>
    <row r="44" spans="1:13" ht="18.75" thickBot="1">
      <c r="A44" s="50"/>
      <c r="B44" s="1" t="s">
        <v>0</v>
      </c>
      <c r="C44" s="1" t="s">
        <v>61</v>
      </c>
      <c r="D44" s="39" t="s">
        <v>62</v>
      </c>
      <c r="E44" s="1" t="s">
        <v>61</v>
      </c>
      <c r="F44" s="39" t="s">
        <v>62</v>
      </c>
      <c r="G44" s="1" t="s">
        <v>61</v>
      </c>
      <c r="H44" s="39" t="s">
        <v>62</v>
      </c>
      <c r="I44" s="1" t="s">
        <v>61</v>
      </c>
      <c r="J44" s="39" t="s">
        <v>62</v>
      </c>
    </row>
    <row r="45" spans="1:13" ht="15.75" thickTop="1">
      <c r="A45" s="50"/>
      <c r="B45" s="2">
        <v>1</v>
      </c>
      <c r="C45" s="53">
        <f>C39</f>
        <v>331.51755505130205</v>
      </c>
      <c r="D45" s="76">
        <f>($E$19*(10^3)*($C$19^3)/(48*(C45*(10^(-12)))))/(10^9)</f>
        <v>237.88961438596854</v>
      </c>
      <c r="E45" s="76">
        <f>E39</f>
        <v>360</v>
      </c>
      <c r="F45" s="52">
        <f>$C$9</f>
        <v>207</v>
      </c>
      <c r="G45" s="77">
        <f>C45-E45</f>
        <v>-28.482444948697946</v>
      </c>
      <c r="H45" s="78">
        <f>D45-F45</f>
        <v>30.889614385968542</v>
      </c>
      <c r="I45" s="45">
        <f>G45/E45</f>
        <v>-7.9117902635272075E-2</v>
      </c>
      <c r="J45" s="45">
        <f>H45/F45</f>
        <v>0.14922519027037942</v>
      </c>
    </row>
    <row r="46" spans="1:13">
      <c r="A46" s="50"/>
      <c r="B46" s="2">
        <v>2</v>
      </c>
      <c r="C46" s="53">
        <f t="shared" ref="C46:C47" si="14">C40</f>
        <v>320.27121949333343</v>
      </c>
      <c r="D46" s="76">
        <f t="shared" ref="D46:D47" si="15">($E$19*(10^3)*($C$19^3)/(48*(C46*(10^(-12)))))/(10^9)</f>
        <v>246.24311687480534</v>
      </c>
      <c r="E46" s="76">
        <f t="shared" ref="E46:E47" si="16">E40</f>
        <v>333.33333333333331</v>
      </c>
      <c r="F46" s="34">
        <f t="shared" ref="F46:F47" si="17">$C$9</f>
        <v>207</v>
      </c>
      <c r="G46" s="77">
        <f t="shared" ref="G46:G47" si="18">C46-E46</f>
        <v>-13.062113839999881</v>
      </c>
      <c r="H46" s="78">
        <f t="shared" ref="H46:H47" si="19">D46-F46</f>
        <v>39.243116874805338</v>
      </c>
      <c r="I46" s="45">
        <f t="shared" ref="I46:I47" si="20">G46/E46</f>
        <v>-3.9186341519999647E-2</v>
      </c>
      <c r="J46" s="45">
        <f t="shared" ref="J46:J47" si="21">H46/F46</f>
        <v>0.18958027475751371</v>
      </c>
    </row>
    <row r="47" spans="1:13">
      <c r="A47" s="50"/>
      <c r="B47" s="2">
        <v>3</v>
      </c>
      <c r="C47" s="53">
        <f t="shared" si="14"/>
        <v>276.23779970624997</v>
      </c>
      <c r="D47" s="76">
        <f t="shared" si="15"/>
        <v>285.49526320147925</v>
      </c>
      <c r="E47" s="76">
        <f t="shared" si="16"/>
        <v>333.33333333333331</v>
      </c>
      <c r="F47" s="34">
        <f t="shared" si="17"/>
        <v>207</v>
      </c>
      <c r="G47" s="77">
        <f t="shared" si="18"/>
        <v>-57.095533627083341</v>
      </c>
      <c r="H47" s="78">
        <f t="shared" si="19"/>
        <v>78.495263201479247</v>
      </c>
      <c r="I47" s="45">
        <f t="shared" si="20"/>
        <v>-0.17128660088125003</v>
      </c>
      <c r="J47" s="45">
        <f t="shared" si="21"/>
        <v>0.37920417005545531</v>
      </c>
    </row>
    <row r="48" spans="1:13">
      <c r="A48" s="50"/>
      <c r="B48" s="58"/>
      <c r="C48" s="82"/>
      <c r="D48" s="83"/>
      <c r="E48" s="60"/>
      <c r="F48" s="60"/>
      <c r="G48" s="84"/>
      <c r="H48" s="85"/>
      <c r="I48" s="86"/>
      <c r="J48" s="86"/>
    </row>
    <row r="49" spans="1:10">
      <c r="A49" s="93" t="s">
        <v>64</v>
      </c>
      <c r="B49" s="93"/>
    </row>
    <row r="50" spans="1:10">
      <c r="B50" s="37" t="s">
        <v>71</v>
      </c>
    </row>
    <row r="51" spans="1:10" ht="15.75" thickBot="1">
      <c r="B51" s="1" t="s">
        <v>0</v>
      </c>
      <c r="C51" s="1" t="s">
        <v>72</v>
      </c>
      <c r="D51" s="1" t="s">
        <v>73</v>
      </c>
    </row>
    <row r="52" spans="1:10" ht="15.75" thickTop="1">
      <c r="B52" s="2">
        <v>1</v>
      </c>
      <c r="C52" s="57"/>
      <c r="D52" s="57"/>
    </row>
    <row r="53" spans="1:10">
      <c r="B53" s="2">
        <v>2</v>
      </c>
      <c r="C53" s="49"/>
      <c r="D53" s="49"/>
    </row>
    <row r="54" spans="1:10">
      <c r="B54" s="3">
        <v>3</v>
      </c>
      <c r="C54" s="49"/>
      <c r="D54" s="49"/>
    </row>
    <row r="55" spans="1:10">
      <c r="B55" s="37" t="s">
        <v>70</v>
      </c>
    </row>
    <row r="56" spans="1:10">
      <c r="B56" s="42"/>
      <c r="C56" s="94" t="s">
        <v>66</v>
      </c>
      <c r="D56" s="94"/>
      <c r="E56" s="99" t="s">
        <v>56</v>
      </c>
      <c r="F56" s="98"/>
      <c r="G56" s="88" t="s">
        <v>57</v>
      </c>
      <c r="H56" s="88"/>
      <c r="I56" s="99" t="s">
        <v>58</v>
      </c>
      <c r="J56" s="98"/>
    </row>
    <row r="57" spans="1:10" ht="15.75" thickBot="1">
      <c r="B57" s="1" t="s">
        <v>0</v>
      </c>
      <c r="C57" s="1" t="s">
        <v>1</v>
      </c>
      <c r="D57" s="1" t="s">
        <v>2</v>
      </c>
      <c r="E57" s="1" t="s">
        <v>1</v>
      </c>
      <c r="F57" s="1" t="s">
        <v>2</v>
      </c>
      <c r="G57" s="1" t="s">
        <v>1</v>
      </c>
      <c r="H57" s="1" t="s">
        <v>2</v>
      </c>
      <c r="I57" s="1" t="s">
        <v>1</v>
      </c>
      <c r="J57" s="1" t="s">
        <v>2</v>
      </c>
    </row>
    <row r="58" spans="1:10" ht="15.75" thickTop="1">
      <c r="B58" s="2">
        <v>1</v>
      </c>
      <c r="C58" s="55"/>
      <c r="D58" s="55"/>
      <c r="E58" s="31">
        <v>20</v>
      </c>
      <c r="F58" s="33">
        <v>6</v>
      </c>
      <c r="G58" s="43">
        <f>C58-E58</f>
        <v>-20</v>
      </c>
      <c r="H58" s="44">
        <f>D58-F58</f>
        <v>-6</v>
      </c>
      <c r="I58" s="45">
        <f>G58/E58</f>
        <v>-1</v>
      </c>
      <c r="J58" s="45">
        <f>H58/F58</f>
        <v>-1</v>
      </c>
    </row>
    <row r="59" spans="1:10">
      <c r="B59" s="2">
        <v>2</v>
      </c>
      <c r="C59" s="56"/>
      <c r="D59" s="56"/>
      <c r="E59" s="32">
        <v>32</v>
      </c>
      <c r="F59" s="34">
        <v>5</v>
      </c>
      <c r="G59" s="46">
        <f t="shared" ref="G59:G60" si="22">C59-E59</f>
        <v>-32</v>
      </c>
      <c r="H59" s="47">
        <f t="shared" ref="H59:H60" si="23">D59-F59</f>
        <v>-5</v>
      </c>
      <c r="I59" s="48">
        <f t="shared" ref="I59:I60" si="24">G59/E59</f>
        <v>-1</v>
      </c>
      <c r="J59" s="48">
        <f t="shared" ref="J59:J60" si="25">H59/F59</f>
        <v>-1</v>
      </c>
    </row>
    <row r="60" spans="1:10">
      <c r="B60" s="3">
        <v>3</v>
      </c>
      <c r="C60" s="56"/>
      <c r="D60" s="56"/>
      <c r="E60" s="32">
        <v>32</v>
      </c>
      <c r="F60" s="34">
        <v>5</v>
      </c>
      <c r="G60" s="46">
        <f t="shared" si="22"/>
        <v>-32</v>
      </c>
      <c r="H60" s="47">
        <f t="shared" si="23"/>
        <v>-5</v>
      </c>
      <c r="I60" s="48">
        <f t="shared" si="24"/>
        <v>-1</v>
      </c>
      <c r="J60" s="48">
        <f t="shared" si="25"/>
        <v>-1</v>
      </c>
    </row>
    <row r="61" spans="1:10">
      <c r="B61" s="89" t="s">
        <v>53</v>
      </c>
      <c r="C61" s="89"/>
      <c r="D61" s="68"/>
      <c r="E61" s="62"/>
      <c r="F61" s="63"/>
      <c r="G61" s="64"/>
      <c r="H61" s="65"/>
      <c r="I61" s="66"/>
      <c r="J61" s="67"/>
    </row>
    <row r="62" spans="1:10">
      <c r="B62" s="42"/>
      <c r="C62" s="94" t="s">
        <v>66</v>
      </c>
      <c r="D62" s="94"/>
      <c r="E62" s="99" t="s">
        <v>56</v>
      </c>
      <c r="F62" s="98"/>
      <c r="G62" s="99" t="s">
        <v>57</v>
      </c>
      <c r="H62" s="98"/>
      <c r="I62" s="99" t="s">
        <v>58</v>
      </c>
      <c r="J62" s="98"/>
    </row>
    <row r="63" spans="1:10" ht="18.75" thickBot="1">
      <c r="B63" s="1" t="s">
        <v>0</v>
      </c>
      <c r="C63" s="1" t="s">
        <v>1</v>
      </c>
      <c r="D63" s="1" t="s">
        <v>2</v>
      </c>
      <c r="E63" s="1" t="s">
        <v>61</v>
      </c>
      <c r="F63" s="39" t="s">
        <v>62</v>
      </c>
      <c r="G63" s="1" t="s">
        <v>61</v>
      </c>
      <c r="H63" s="39" t="s">
        <v>62</v>
      </c>
      <c r="I63" s="1" t="s">
        <v>61</v>
      </c>
      <c r="J63" s="39" t="s">
        <v>62</v>
      </c>
    </row>
    <row r="64" spans="1:10" ht="15.75" thickTop="1">
      <c r="B64" s="2">
        <v>1</v>
      </c>
      <c r="C64" s="55"/>
      <c r="D64" s="55"/>
      <c r="E64" s="31">
        <v>20</v>
      </c>
      <c r="F64" s="33">
        <v>6</v>
      </c>
      <c r="G64" s="43">
        <f>C64-E64</f>
        <v>-20</v>
      </c>
      <c r="H64" s="44">
        <f>D64-F64</f>
        <v>-6</v>
      </c>
      <c r="I64" s="45">
        <f>G64/E64</f>
        <v>-1</v>
      </c>
      <c r="J64" s="45">
        <f>H64/F64</f>
        <v>-1</v>
      </c>
    </row>
    <row r="65" spans="1:10">
      <c r="B65" s="2">
        <v>2</v>
      </c>
      <c r="C65" s="56"/>
      <c r="D65" s="56"/>
      <c r="E65" s="32">
        <v>32</v>
      </c>
      <c r="F65" s="34">
        <v>5</v>
      </c>
      <c r="G65" s="43">
        <f t="shared" ref="G65:G66" si="26">C65-E65</f>
        <v>-32</v>
      </c>
      <c r="H65" s="44">
        <f t="shared" ref="H65:H66" si="27">D65-F65</f>
        <v>-5</v>
      </c>
      <c r="I65" s="45">
        <f t="shared" ref="I65:I66" si="28">G65/E65</f>
        <v>-1</v>
      </c>
      <c r="J65" s="45">
        <f t="shared" ref="J65:J66" si="29">H65/F65</f>
        <v>-1</v>
      </c>
    </row>
    <row r="66" spans="1:10">
      <c r="B66" s="2">
        <v>3</v>
      </c>
      <c r="C66" s="56"/>
      <c r="D66" s="56"/>
      <c r="E66" s="32">
        <v>32</v>
      </c>
      <c r="F66" s="34">
        <v>5</v>
      </c>
      <c r="G66" s="43">
        <f t="shared" si="26"/>
        <v>-32</v>
      </c>
      <c r="H66" s="44">
        <f t="shared" si="27"/>
        <v>-5</v>
      </c>
      <c r="I66" s="45">
        <f t="shared" si="28"/>
        <v>-1</v>
      </c>
      <c r="J66" s="45">
        <f t="shared" si="29"/>
        <v>-1</v>
      </c>
    </row>
    <row r="67" spans="1:10">
      <c r="B67" s="58"/>
      <c r="E67" s="59"/>
      <c r="F67" s="60"/>
      <c r="G67" s="61"/>
      <c r="H67" s="61"/>
      <c r="I67" s="61"/>
      <c r="J67" s="61"/>
    </row>
    <row r="68" spans="1:10">
      <c r="A68" s="100" t="s">
        <v>69</v>
      </c>
      <c r="B68" s="100"/>
    </row>
    <row r="69" spans="1:10">
      <c r="B69" s="37" t="s">
        <v>120</v>
      </c>
    </row>
    <row r="70" spans="1:10" ht="15.75" thickBot="1">
      <c r="B70" s="1" t="s">
        <v>0</v>
      </c>
      <c r="C70" s="1" t="s">
        <v>72</v>
      </c>
      <c r="D70" s="1" t="s">
        <v>74</v>
      </c>
    </row>
    <row r="71" spans="1:10" ht="15.75" thickTop="1">
      <c r="B71" s="2">
        <v>1</v>
      </c>
      <c r="C71" s="57"/>
      <c r="D71" s="57"/>
    </row>
    <row r="72" spans="1:10">
      <c r="B72" s="2">
        <v>2</v>
      </c>
      <c r="C72" s="49"/>
      <c r="D72" s="49"/>
    </row>
    <row r="73" spans="1:10">
      <c r="B73" s="3">
        <v>3</v>
      </c>
      <c r="C73" s="49"/>
      <c r="D73" s="49"/>
    </row>
    <row r="74" spans="1:10">
      <c r="B74" s="37" t="s">
        <v>70</v>
      </c>
    </row>
    <row r="75" spans="1:10">
      <c r="B75" s="42"/>
      <c r="C75" s="94" t="s">
        <v>128</v>
      </c>
      <c r="D75" s="94"/>
      <c r="E75" s="99" t="s">
        <v>56</v>
      </c>
      <c r="F75" s="98"/>
      <c r="G75" s="88" t="s">
        <v>57</v>
      </c>
      <c r="H75" s="88"/>
      <c r="I75" s="99" t="s">
        <v>58</v>
      </c>
      <c r="J75" s="98"/>
    </row>
    <row r="76" spans="1:10" ht="15.75" thickBot="1">
      <c r="B76" s="1" t="s">
        <v>0</v>
      </c>
      <c r="C76" s="1" t="s">
        <v>1</v>
      </c>
      <c r="D76" s="1" t="s">
        <v>2</v>
      </c>
      <c r="E76" s="1" t="s">
        <v>1</v>
      </c>
      <c r="F76" s="1" t="s">
        <v>2</v>
      </c>
      <c r="G76" s="1" t="s">
        <v>1</v>
      </c>
      <c r="H76" s="1" t="s">
        <v>2</v>
      </c>
      <c r="I76" s="1" t="s">
        <v>1</v>
      </c>
      <c r="J76" s="1" t="s">
        <v>2</v>
      </c>
    </row>
    <row r="77" spans="1:10" ht="15.75" thickTop="1">
      <c r="B77" s="2">
        <v>1</v>
      </c>
      <c r="C77" s="55"/>
      <c r="D77" s="55"/>
      <c r="E77" s="31">
        <v>20</v>
      </c>
      <c r="F77" s="33">
        <v>6</v>
      </c>
      <c r="G77" s="43">
        <f>C77-E77</f>
        <v>-20</v>
      </c>
      <c r="H77" s="44">
        <f>D77-F77</f>
        <v>-6</v>
      </c>
      <c r="I77" s="45">
        <f>G77/E77</f>
        <v>-1</v>
      </c>
      <c r="J77" s="45">
        <f>H77/F77</f>
        <v>-1</v>
      </c>
    </row>
    <row r="78" spans="1:10">
      <c r="B78" s="2">
        <v>2</v>
      </c>
      <c r="C78" s="56"/>
      <c r="D78" s="56"/>
      <c r="E78" s="32">
        <v>32</v>
      </c>
      <c r="F78" s="34">
        <v>5</v>
      </c>
      <c r="G78" s="46">
        <f t="shared" ref="G78:G79" si="30">C78-E78</f>
        <v>-32</v>
      </c>
      <c r="H78" s="47">
        <f t="shared" ref="H78:H79" si="31">D78-F78</f>
        <v>-5</v>
      </c>
      <c r="I78" s="48">
        <f t="shared" ref="I78:I79" si="32">G78/E78</f>
        <v>-1</v>
      </c>
      <c r="J78" s="48">
        <f t="shared" ref="J78:J79" si="33">H78/F78</f>
        <v>-1</v>
      </c>
    </row>
    <row r="79" spans="1:10">
      <c r="B79" s="3">
        <v>3</v>
      </c>
      <c r="C79" s="56"/>
      <c r="D79" s="56"/>
      <c r="E79" s="32">
        <v>32</v>
      </c>
      <c r="F79" s="34">
        <v>5</v>
      </c>
      <c r="G79" s="46">
        <f t="shared" si="30"/>
        <v>-32</v>
      </c>
      <c r="H79" s="47">
        <f t="shared" si="31"/>
        <v>-5</v>
      </c>
      <c r="I79" s="48">
        <f t="shared" si="32"/>
        <v>-1</v>
      </c>
      <c r="J79" s="48">
        <f t="shared" si="33"/>
        <v>-1</v>
      </c>
    </row>
    <row r="80" spans="1:10">
      <c r="B80" s="89" t="s">
        <v>53</v>
      </c>
      <c r="C80" s="89"/>
      <c r="D80" s="68"/>
      <c r="E80" s="62"/>
      <c r="F80" s="63"/>
      <c r="G80" s="64"/>
      <c r="H80" s="65"/>
      <c r="I80" s="66"/>
      <c r="J80" s="67"/>
    </row>
    <row r="81" spans="2:10">
      <c r="B81" s="42"/>
      <c r="C81" s="94" t="s">
        <v>128</v>
      </c>
      <c r="D81" s="94"/>
      <c r="E81" s="99" t="s">
        <v>56</v>
      </c>
      <c r="F81" s="98"/>
      <c r="G81" s="99" t="s">
        <v>57</v>
      </c>
      <c r="H81" s="98"/>
      <c r="I81" s="99" t="s">
        <v>58</v>
      </c>
      <c r="J81" s="98"/>
    </row>
    <row r="82" spans="2:10" ht="18.75" thickBot="1">
      <c r="B82" s="1" t="s">
        <v>0</v>
      </c>
      <c r="C82" s="1" t="s">
        <v>1</v>
      </c>
      <c r="D82" s="1" t="s">
        <v>2</v>
      </c>
      <c r="E82" s="1" t="s">
        <v>61</v>
      </c>
      <c r="F82" s="39" t="s">
        <v>62</v>
      </c>
      <c r="G82" s="1" t="s">
        <v>61</v>
      </c>
      <c r="H82" s="39" t="s">
        <v>62</v>
      </c>
      <c r="I82" s="1" t="s">
        <v>61</v>
      </c>
      <c r="J82" s="39" t="s">
        <v>62</v>
      </c>
    </row>
    <row r="83" spans="2:10" ht="15.75" thickTop="1">
      <c r="B83" s="2">
        <v>1</v>
      </c>
      <c r="C83" s="55"/>
      <c r="D83" s="55"/>
      <c r="E83" s="31">
        <v>20</v>
      </c>
      <c r="F83" s="33">
        <v>6</v>
      </c>
      <c r="G83" s="43">
        <f>C83-E83</f>
        <v>-20</v>
      </c>
      <c r="H83" s="44">
        <f>D83-F83</f>
        <v>-6</v>
      </c>
      <c r="I83" s="45">
        <f>G83/E83</f>
        <v>-1</v>
      </c>
      <c r="J83" s="45">
        <f>H83/F83</f>
        <v>-1</v>
      </c>
    </row>
    <row r="84" spans="2:10">
      <c r="B84" s="2">
        <v>2</v>
      </c>
      <c r="C84" s="56"/>
      <c r="D84" s="56"/>
      <c r="E84" s="32">
        <v>32</v>
      </c>
      <c r="F84" s="34">
        <v>5</v>
      </c>
      <c r="G84" s="43">
        <f t="shared" ref="G84:G85" si="34">C84-E84</f>
        <v>-32</v>
      </c>
      <c r="H84" s="44">
        <f t="shared" ref="H84:H85" si="35">D84-F84</f>
        <v>-5</v>
      </c>
      <c r="I84" s="45">
        <f t="shared" ref="I84:I85" si="36">G84/E84</f>
        <v>-1</v>
      </c>
      <c r="J84" s="45">
        <f t="shared" ref="J84:J85" si="37">H84/F84</f>
        <v>-1</v>
      </c>
    </row>
    <row r="85" spans="2:10">
      <c r="B85" s="2">
        <v>3</v>
      </c>
      <c r="C85" s="56"/>
      <c r="D85" s="56"/>
      <c r="E85" s="32">
        <v>32</v>
      </c>
      <c r="F85" s="34">
        <v>5</v>
      </c>
      <c r="G85" s="43">
        <f t="shared" si="34"/>
        <v>-32</v>
      </c>
      <c r="H85" s="44">
        <f t="shared" si="35"/>
        <v>-5</v>
      </c>
      <c r="I85" s="45">
        <f t="shared" si="36"/>
        <v>-1</v>
      </c>
      <c r="J85" s="45">
        <f t="shared" si="37"/>
        <v>-1</v>
      </c>
    </row>
  </sheetData>
  <mergeCells count="48">
    <mergeCell ref="A17:B17"/>
    <mergeCell ref="B13:D13"/>
    <mergeCell ref="M22:N22"/>
    <mergeCell ref="A6:B6"/>
    <mergeCell ref="B80:C80"/>
    <mergeCell ref="C81:D81"/>
    <mergeCell ref="E81:F81"/>
    <mergeCell ref="G81:H81"/>
    <mergeCell ref="I81:J81"/>
    <mergeCell ref="A21:C21"/>
    <mergeCell ref="C22:D22"/>
    <mergeCell ref="E22:F22"/>
    <mergeCell ref="G22:H22"/>
    <mergeCell ref="G62:H62"/>
    <mergeCell ref="I62:J62"/>
    <mergeCell ref="G56:H56"/>
    <mergeCell ref="I56:J56"/>
    <mergeCell ref="C43:D43"/>
    <mergeCell ref="G75:H75"/>
    <mergeCell ref="I75:J75"/>
    <mergeCell ref="C75:D75"/>
    <mergeCell ref="A68:B68"/>
    <mergeCell ref="K22:L22"/>
    <mergeCell ref="E43:F43"/>
    <mergeCell ref="G43:H43"/>
    <mergeCell ref="I43:J43"/>
    <mergeCell ref="E75:F75"/>
    <mergeCell ref="C62:D62"/>
    <mergeCell ref="E62:F62"/>
    <mergeCell ref="A28:C28"/>
    <mergeCell ref="A35:C35"/>
    <mergeCell ref="E56:F56"/>
    <mergeCell ref="B3:B4"/>
    <mergeCell ref="B61:C61"/>
    <mergeCell ref="B10:D10"/>
    <mergeCell ref="A1:B1"/>
    <mergeCell ref="A49:B49"/>
    <mergeCell ref="C56:D56"/>
    <mergeCell ref="D3:J4"/>
    <mergeCell ref="I22:J22"/>
    <mergeCell ref="C37:D37"/>
    <mergeCell ref="E37:F37"/>
    <mergeCell ref="G37:H37"/>
    <mergeCell ref="I37:J37"/>
    <mergeCell ref="C29:D29"/>
    <mergeCell ref="E29:F29"/>
    <mergeCell ref="G29:H29"/>
    <mergeCell ref="I29:J29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81"/>
  <sheetViews>
    <sheetView topLeftCell="A34" zoomScale="80" zoomScaleNormal="80" workbookViewId="0">
      <selection activeCell="T24" sqref="T24"/>
    </sheetView>
  </sheetViews>
  <sheetFormatPr defaultColWidth="8.85546875" defaultRowHeight="15"/>
  <cols>
    <col min="1" max="1" width="3" customWidth="1"/>
    <col min="2" max="2" width="3.42578125" customWidth="1"/>
    <col min="3" max="3" width="19.85546875" customWidth="1"/>
    <col min="4" max="4" width="12.5703125" customWidth="1"/>
    <col min="5" max="5" width="14" customWidth="1"/>
    <col min="6" max="6" width="6.42578125" customWidth="1"/>
    <col min="7" max="8" width="6" customWidth="1"/>
    <col min="9" max="9" width="5.5703125" customWidth="1"/>
    <col min="13" max="13" width="23.7109375" customWidth="1"/>
  </cols>
  <sheetData>
    <row r="1" spans="1:13">
      <c r="A1" s="108" t="s">
        <v>85</v>
      </c>
      <c r="B1" s="108"/>
      <c r="C1" s="108"/>
      <c r="D1" s="108"/>
      <c r="E1" s="108"/>
    </row>
    <row r="3" spans="1:13">
      <c r="C3" s="88" t="s">
        <v>59</v>
      </c>
      <c r="D3" s="49" t="s">
        <v>60</v>
      </c>
      <c r="E3" s="161" t="s">
        <v>134</v>
      </c>
      <c r="F3" s="162"/>
      <c r="G3" s="162"/>
      <c r="H3" s="162"/>
      <c r="I3" s="162"/>
      <c r="J3" s="162"/>
      <c r="K3" s="162"/>
    </row>
    <row r="4" spans="1:13">
      <c r="C4" s="88"/>
      <c r="D4" s="38" t="s">
        <v>67</v>
      </c>
      <c r="E4" s="162"/>
      <c r="F4" s="162"/>
      <c r="G4" s="162"/>
      <c r="H4" s="162"/>
      <c r="I4" s="162"/>
      <c r="J4" s="162"/>
      <c r="K4" s="162"/>
    </row>
    <row r="5" spans="1:13">
      <c r="C5" s="58"/>
      <c r="D5" s="69"/>
      <c r="E5" s="70"/>
      <c r="F5" s="70"/>
      <c r="G5" s="70"/>
      <c r="H5" s="70"/>
      <c r="I5" s="70"/>
      <c r="J5" s="70"/>
      <c r="K5" s="70"/>
    </row>
    <row r="6" spans="1:13">
      <c r="A6" s="131" t="s">
        <v>115</v>
      </c>
      <c r="B6" s="131"/>
      <c r="C6" s="131"/>
      <c r="D6" s="69"/>
      <c r="G6" s="70"/>
      <c r="H6" s="70"/>
      <c r="I6" s="70"/>
      <c r="J6" s="70"/>
      <c r="K6" s="70"/>
    </row>
    <row r="7" spans="1:13" ht="15.75" thickBot="1">
      <c r="C7" s="1" t="s">
        <v>116</v>
      </c>
      <c r="D7" s="115" t="s">
        <v>118</v>
      </c>
      <c r="E7" s="115" t="s">
        <v>119</v>
      </c>
      <c r="G7" s="70"/>
      <c r="H7" s="70"/>
      <c r="I7" s="70"/>
      <c r="J7" s="70"/>
      <c r="K7" s="70"/>
    </row>
    <row r="8" spans="1:13" ht="15.75" thickTop="1">
      <c r="C8" s="2"/>
      <c r="D8" s="117">
        <v>30.289000000000001</v>
      </c>
      <c r="E8" s="117">
        <v>30.283999999999999</v>
      </c>
      <c r="G8" s="160" t="s">
        <v>135</v>
      </c>
      <c r="H8" s="160"/>
      <c r="I8" s="160"/>
      <c r="J8" s="160"/>
      <c r="K8" s="160"/>
      <c r="L8" s="160"/>
      <c r="M8" s="160"/>
    </row>
    <row r="9" spans="1:13">
      <c r="C9" s="58"/>
      <c r="D9" s="69"/>
      <c r="G9" s="70"/>
      <c r="H9" s="70"/>
      <c r="I9" s="70"/>
      <c r="J9" s="70"/>
      <c r="K9" s="70"/>
    </row>
    <row r="10" spans="1:13">
      <c r="A10" s="131" t="s">
        <v>126</v>
      </c>
      <c r="B10" s="131"/>
      <c r="C10" s="131"/>
      <c r="D10" s="69"/>
      <c r="G10" s="70"/>
      <c r="H10" s="70"/>
      <c r="I10" s="70"/>
      <c r="J10" s="70"/>
      <c r="K10" s="70"/>
    </row>
    <row r="11" spans="1:13">
      <c r="A11" s="157"/>
      <c r="B11" s="157"/>
      <c r="C11" s="157" t="s">
        <v>130</v>
      </c>
      <c r="D11" s="156"/>
      <c r="E11" s="156"/>
      <c r="F11" s="156"/>
      <c r="G11" s="156"/>
      <c r="H11" s="156"/>
      <c r="I11" s="156"/>
      <c r="J11" s="156"/>
      <c r="K11" s="157" t="s">
        <v>129</v>
      </c>
      <c r="L11" s="157"/>
      <c r="M11" s="157"/>
    </row>
    <row r="12" spans="1:13">
      <c r="C12" s="58"/>
      <c r="D12" s="69"/>
      <c r="G12" s="70"/>
      <c r="H12" s="70"/>
      <c r="I12" s="70"/>
      <c r="J12" s="70"/>
      <c r="K12" s="70"/>
    </row>
    <row r="13" spans="1:13">
      <c r="C13" s="58"/>
      <c r="D13" s="69"/>
      <c r="E13" s="70"/>
      <c r="F13" s="70"/>
      <c r="G13" s="70"/>
      <c r="H13" s="70"/>
      <c r="I13" s="70"/>
      <c r="J13" s="70"/>
      <c r="K13" s="70"/>
    </row>
    <row r="14" spans="1:13">
      <c r="C14" s="58"/>
      <c r="D14" s="69"/>
      <c r="E14" s="70"/>
      <c r="F14" s="70"/>
      <c r="G14" s="70"/>
      <c r="H14" s="70"/>
      <c r="I14" s="70"/>
      <c r="J14" s="70"/>
      <c r="K14" s="70"/>
    </row>
    <row r="15" spans="1:13">
      <c r="C15" s="58"/>
      <c r="D15" s="69"/>
      <c r="E15" s="70"/>
      <c r="F15" s="70"/>
      <c r="G15" s="70"/>
      <c r="H15" s="70"/>
      <c r="I15" s="70"/>
      <c r="J15" s="70"/>
      <c r="K15" s="70"/>
    </row>
    <row r="16" spans="1:13">
      <c r="C16" s="58"/>
      <c r="D16" s="69"/>
      <c r="E16" s="70"/>
      <c r="F16" s="70"/>
      <c r="G16" s="70"/>
      <c r="H16" s="70"/>
      <c r="I16" s="70"/>
      <c r="J16" s="70"/>
      <c r="K16" s="70"/>
    </row>
    <row r="17" spans="1:19">
      <c r="C17" s="58"/>
      <c r="D17" s="69"/>
      <c r="E17" s="70"/>
      <c r="F17" s="70"/>
      <c r="G17" s="70"/>
      <c r="H17" s="70"/>
      <c r="I17" s="70"/>
      <c r="J17" s="70"/>
      <c r="K17" s="70"/>
    </row>
    <row r="18" spans="1:19">
      <c r="C18" s="58"/>
      <c r="D18" s="69"/>
      <c r="E18" s="70"/>
      <c r="F18" s="70"/>
      <c r="G18" s="70"/>
      <c r="H18" s="70"/>
      <c r="I18" s="70"/>
      <c r="J18" s="70"/>
      <c r="K18" s="70"/>
    </row>
    <row r="19" spans="1:19">
      <c r="C19" s="58"/>
      <c r="D19" s="69"/>
      <c r="E19" s="70"/>
      <c r="F19" s="70"/>
      <c r="G19" s="70"/>
      <c r="H19" s="70"/>
      <c r="I19" s="70"/>
      <c r="J19" s="70"/>
      <c r="K19" s="70"/>
    </row>
    <row r="20" spans="1:19">
      <c r="C20" s="58"/>
      <c r="D20" s="69"/>
      <c r="E20" s="70"/>
      <c r="F20" s="70"/>
      <c r="G20" s="70"/>
      <c r="H20" s="70"/>
      <c r="I20" s="70"/>
      <c r="J20" s="70"/>
      <c r="K20" s="70"/>
    </row>
    <row r="21" spans="1:19">
      <c r="C21" s="58"/>
      <c r="D21" s="69"/>
      <c r="E21" s="70"/>
      <c r="F21" s="70"/>
      <c r="G21" s="70"/>
      <c r="H21" s="70"/>
      <c r="I21" s="70"/>
      <c r="J21" s="70"/>
      <c r="K21" s="70"/>
    </row>
    <row r="22" spans="1:19">
      <c r="C22" s="58"/>
      <c r="D22" s="69"/>
      <c r="E22" s="70"/>
      <c r="F22" s="70"/>
      <c r="G22" s="70"/>
      <c r="H22" s="70"/>
      <c r="I22" s="70"/>
      <c r="J22" s="70"/>
      <c r="K22" s="70"/>
    </row>
    <row r="23" spans="1:19" ht="12" customHeight="1">
      <c r="C23" s="58"/>
      <c r="D23" s="69"/>
      <c r="E23" s="70"/>
      <c r="F23" s="70"/>
      <c r="G23" s="70"/>
      <c r="H23" s="70"/>
      <c r="I23" s="70"/>
      <c r="J23" s="70"/>
      <c r="K23" s="70"/>
    </row>
    <row r="24" spans="1:19">
      <c r="C24" s="58"/>
      <c r="D24" s="69"/>
      <c r="E24" s="70"/>
      <c r="F24" s="70"/>
      <c r="G24" s="70"/>
      <c r="H24" s="70"/>
      <c r="I24" s="70"/>
      <c r="J24" s="70"/>
      <c r="K24" s="70"/>
    </row>
    <row r="25" spans="1:19">
      <c r="C25" s="58"/>
      <c r="D25" s="69"/>
      <c r="E25" s="70"/>
      <c r="F25" s="70"/>
      <c r="G25" s="70"/>
      <c r="H25" s="70"/>
      <c r="I25" s="70"/>
      <c r="J25" s="70"/>
      <c r="K25" s="70"/>
    </row>
    <row r="26" spans="1:19">
      <c r="C26" s="58"/>
      <c r="D26" s="69"/>
      <c r="E26" s="70"/>
      <c r="F26" s="70"/>
      <c r="G26" s="70"/>
      <c r="H26" s="70"/>
      <c r="I26" s="70"/>
      <c r="J26" s="70"/>
      <c r="K26" s="70"/>
    </row>
    <row r="27" spans="1:19">
      <c r="C27" s="58"/>
      <c r="D27" s="69"/>
      <c r="E27" s="70"/>
      <c r="F27" s="70"/>
      <c r="G27" s="70"/>
      <c r="H27" s="70"/>
      <c r="I27" s="70"/>
      <c r="J27" s="70"/>
      <c r="K27" s="70"/>
    </row>
    <row r="28" spans="1:19" s="133" customFormat="1"/>
    <row r="30" spans="1:19">
      <c r="A30" s="132" t="s">
        <v>124</v>
      </c>
      <c r="B30" s="132"/>
      <c r="C30" s="132"/>
      <c r="K30" s="132" t="s">
        <v>125</v>
      </c>
      <c r="L30" s="132"/>
      <c r="M30" s="132"/>
    </row>
    <row r="31" spans="1:19" ht="25.5" customHeight="1">
      <c r="A31" s="104"/>
      <c r="B31" s="104"/>
      <c r="C31" s="10" t="s">
        <v>13</v>
      </c>
      <c r="D31" s="103" t="s">
        <v>22</v>
      </c>
      <c r="E31" s="103"/>
      <c r="F31" s="103"/>
      <c r="G31" s="103"/>
      <c r="H31" s="103"/>
      <c r="I31" s="103"/>
      <c r="K31" s="141"/>
      <c r="L31" s="141"/>
      <c r="M31" s="142" t="s">
        <v>13</v>
      </c>
      <c r="N31" s="143" t="s">
        <v>22</v>
      </c>
      <c r="O31" s="143"/>
      <c r="P31" s="143"/>
      <c r="Q31" s="143"/>
      <c r="R31" s="143"/>
      <c r="S31" s="143"/>
    </row>
    <row r="32" spans="1:19" ht="59.25" customHeight="1" thickBot="1">
      <c r="A32" s="105"/>
      <c r="B32" s="105"/>
      <c r="C32" s="11" t="s">
        <v>21</v>
      </c>
      <c r="D32" s="12">
        <f>D49</f>
        <v>0</v>
      </c>
      <c r="E32" s="11">
        <f>D55</f>
        <v>4.9000000000000004</v>
      </c>
      <c r="F32" s="11">
        <f>D61</f>
        <v>9.8000000000000007</v>
      </c>
      <c r="G32" s="11">
        <f>D67</f>
        <v>14.7</v>
      </c>
      <c r="H32" s="11">
        <f>D73</f>
        <v>19.600000000000001</v>
      </c>
      <c r="I32" s="11">
        <f>D79</f>
        <v>29.4</v>
      </c>
      <c r="K32" s="144"/>
      <c r="L32" s="144"/>
      <c r="M32" s="145" t="s">
        <v>21</v>
      </c>
      <c r="N32" s="146">
        <f>N49</f>
        <v>0</v>
      </c>
      <c r="O32" s="145">
        <f>N55</f>
        <v>4.9000000000000004</v>
      </c>
      <c r="P32" s="145">
        <f>N61</f>
        <v>9.8000000000000007</v>
      </c>
      <c r="Q32" s="145">
        <f>N67</f>
        <v>14.7</v>
      </c>
      <c r="R32" s="145">
        <f>N73</f>
        <v>19.600000000000001</v>
      </c>
      <c r="S32" s="145">
        <f>N79</f>
        <v>29.4</v>
      </c>
    </row>
    <row r="33" spans="1:19" ht="15.75" thickTop="1">
      <c r="A33" s="106" t="s">
        <v>14</v>
      </c>
      <c r="B33" s="107" t="s">
        <v>15</v>
      </c>
      <c r="C33" s="6" t="s">
        <v>16</v>
      </c>
      <c r="D33" s="123">
        <v>3.399</v>
      </c>
      <c r="E33" s="123">
        <v>3.2509999999999999</v>
      </c>
      <c r="F33" s="123">
        <v>3.0910000000000002</v>
      </c>
      <c r="G33" s="123">
        <v>2.9140000000000001</v>
      </c>
      <c r="H33" s="123">
        <v>2.762</v>
      </c>
      <c r="I33" s="123">
        <v>2.4430000000000001</v>
      </c>
      <c r="K33" s="147" t="s">
        <v>14</v>
      </c>
      <c r="L33" s="148" t="s">
        <v>15</v>
      </c>
      <c r="M33" s="149" t="s">
        <v>16</v>
      </c>
      <c r="N33" s="150">
        <v>3.399</v>
      </c>
      <c r="O33" s="150">
        <v>3.2509999999999999</v>
      </c>
      <c r="P33" s="150">
        <v>3.0910000000000002</v>
      </c>
      <c r="Q33" s="150">
        <v>2.9140000000000001</v>
      </c>
      <c r="R33" s="150">
        <v>2.762</v>
      </c>
      <c r="S33" s="150">
        <v>2.4430000000000001</v>
      </c>
    </row>
    <row r="34" spans="1:19">
      <c r="A34" s="102"/>
      <c r="B34" s="103"/>
      <c r="C34" s="4" t="s">
        <v>17</v>
      </c>
      <c r="D34" s="124">
        <f>C49</f>
        <v>0</v>
      </c>
      <c r="E34" s="124">
        <v>0.14799999999999999</v>
      </c>
      <c r="F34" s="124">
        <v>0.308</v>
      </c>
      <c r="G34" s="124">
        <v>0.48499999999999999</v>
      </c>
      <c r="H34" s="124">
        <v>0.63700000000000001</v>
      </c>
      <c r="I34" s="124">
        <v>0.95599999999999996</v>
      </c>
      <c r="K34" s="151"/>
      <c r="L34" s="143"/>
      <c r="M34" s="152" t="s">
        <v>17</v>
      </c>
      <c r="N34" s="153">
        <f>M49</f>
        <v>0</v>
      </c>
      <c r="O34" s="153">
        <v>0.14799999999999999</v>
      </c>
      <c r="P34" s="153">
        <v>0.308</v>
      </c>
      <c r="Q34" s="153">
        <v>0.48499999999999999</v>
      </c>
      <c r="R34" s="153">
        <v>0.63700000000000001</v>
      </c>
      <c r="S34" s="153">
        <v>0.95599999999999996</v>
      </c>
    </row>
    <row r="35" spans="1:19">
      <c r="A35" s="102"/>
      <c r="B35" s="103" t="s">
        <v>18</v>
      </c>
      <c r="C35" s="4" t="s">
        <v>16</v>
      </c>
      <c r="D35" s="124">
        <v>3.3959999999999999</v>
      </c>
      <c r="E35" s="124">
        <v>3.2370000000000001</v>
      </c>
      <c r="F35" s="124">
        <v>3.073</v>
      </c>
      <c r="G35" s="124">
        <v>2.9089999999999998</v>
      </c>
      <c r="H35" s="124">
        <v>2.7519999999999998</v>
      </c>
      <c r="I35" s="125"/>
      <c r="K35" s="151"/>
      <c r="L35" s="143" t="s">
        <v>18</v>
      </c>
      <c r="M35" s="152" t="s">
        <v>16</v>
      </c>
      <c r="N35" s="153">
        <v>3.3959999999999999</v>
      </c>
      <c r="O35" s="153">
        <v>3.2370000000000001</v>
      </c>
      <c r="P35" s="153">
        <v>3.073</v>
      </c>
      <c r="Q35" s="153">
        <v>2.9089999999999998</v>
      </c>
      <c r="R35" s="153">
        <v>2.7519999999999998</v>
      </c>
      <c r="S35" s="154"/>
    </row>
    <row r="36" spans="1:19">
      <c r="A36" s="102"/>
      <c r="B36" s="103"/>
      <c r="C36" s="4" t="s">
        <v>17</v>
      </c>
      <c r="D36" s="124">
        <f>C50</f>
        <v>3.0000000000000001E-3</v>
      </c>
      <c r="E36" s="124">
        <v>0.16200000000000001</v>
      </c>
      <c r="F36" s="124">
        <v>0.32600000000000001</v>
      </c>
      <c r="G36" s="124">
        <v>0.49</v>
      </c>
      <c r="H36" s="124">
        <v>0.64700000000000002</v>
      </c>
      <c r="I36" s="125"/>
      <c r="K36" s="151"/>
      <c r="L36" s="143"/>
      <c r="M36" s="152" t="s">
        <v>17</v>
      </c>
      <c r="N36" s="153">
        <f>M50</f>
        <v>3.0000000000000001E-3</v>
      </c>
      <c r="O36" s="153">
        <v>0.16200000000000001</v>
      </c>
      <c r="P36" s="153">
        <v>0.32600000000000001</v>
      </c>
      <c r="Q36" s="153">
        <v>0.49</v>
      </c>
      <c r="R36" s="153">
        <v>0.64700000000000002</v>
      </c>
      <c r="S36" s="154"/>
    </row>
    <row r="37" spans="1:19">
      <c r="A37" s="102" t="s">
        <v>19</v>
      </c>
      <c r="B37" s="103" t="s">
        <v>15</v>
      </c>
      <c r="C37" s="4" t="s">
        <v>16</v>
      </c>
      <c r="D37" s="124">
        <v>3.4260000000000002</v>
      </c>
      <c r="E37" s="124">
        <v>3.2789999999999999</v>
      </c>
      <c r="F37" s="124">
        <v>3.1139999999999999</v>
      </c>
      <c r="G37" s="124">
        <v>2.948</v>
      </c>
      <c r="H37" s="124">
        <v>2.7890000000000001</v>
      </c>
      <c r="I37" s="124">
        <v>2.4609999999999999</v>
      </c>
      <c r="K37" s="151" t="s">
        <v>19</v>
      </c>
      <c r="L37" s="143" t="s">
        <v>15</v>
      </c>
      <c r="M37" s="152" t="s">
        <v>16</v>
      </c>
      <c r="N37" s="153">
        <v>3.4260000000000002</v>
      </c>
      <c r="O37" s="153">
        <v>3.2789999999999999</v>
      </c>
      <c r="P37" s="153">
        <v>3.1139999999999999</v>
      </c>
      <c r="Q37" s="153">
        <v>2.948</v>
      </c>
      <c r="R37" s="153">
        <v>2.7890000000000001</v>
      </c>
      <c r="S37" s="153">
        <v>2.4609999999999999</v>
      </c>
    </row>
    <row r="38" spans="1:19">
      <c r="A38" s="102"/>
      <c r="B38" s="103"/>
      <c r="C38" s="4" t="s">
        <v>17</v>
      </c>
      <c r="D38" s="124">
        <f>C51</f>
        <v>0</v>
      </c>
      <c r="E38" s="124">
        <v>0.14699999999999999</v>
      </c>
      <c r="F38" s="124">
        <v>0.312</v>
      </c>
      <c r="G38" s="124">
        <v>0.47799999999999998</v>
      </c>
      <c r="H38" s="124">
        <v>0.63700000000000001</v>
      </c>
      <c r="I38" s="124">
        <v>0.96499999999999997</v>
      </c>
      <c r="K38" s="151"/>
      <c r="L38" s="143"/>
      <c r="M38" s="152" t="s">
        <v>17</v>
      </c>
      <c r="N38" s="153">
        <f>M51</f>
        <v>0</v>
      </c>
      <c r="O38" s="153">
        <v>0.14699999999999999</v>
      </c>
      <c r="P38" s="153">
        <v>0.312</v>
      </c>
      <c r="Q38" s="153">
        <v>0.47799999999999998</v>
      </c>
      <c r="R38" s="153">
        <v>0.63700000000000001</v>
      </c>
      <c r="S38" s="153">
        <v>0.96499999999999997</v>
      </c>
    </row>
    <row r="39" spans="1:19">
      <c r="A39" s="102"/>
      <c r="B39" s="103" t="s">
        <v>18</v>
      </c>
      <c r="C39" s="4" t="s">
        <v>16</v>
      </c>
      <c r="D39" s="124">
        <v>3.419</v>
      </c>
      <c r="E39" s="124">
        <v>3.2530000000000001</v>
      </c>
      <c r="F39" s="124">
        <v>3.0979999999999999</v>
      </c>
      <c r="G39" s="124">
        <v>2.9279999999999999</v>
      </c>
      <c r="H39" s="124">
        <v>2.7719999999999998</v>
      </c>
      <c r="I39" s="125"/>
      <c r="K39" s="151"/>
      <c r="L39" s="143" t="s">
        <v>18</v>
      </c>
      <c r="M39" s="152" t="s">
        <v>16</v>
      </c>
      <c r="N39" s="153">
        <v>3.419</v>
      </c>
      <c r="O39" s="153">
        <v>3.2530000000000001</v>
      </c>
      <c r="P39" s="153">
        <v>3.0979999999999999</v>
      </c>
      <c r="Q39" s="153">
        <v>2.9279999999999999</v>
      </c>
      <c r="R39" s="153">
        <v>2.7719999999999998</v>
      </c>
      <c r="S39" s="154"/>
    </row>
    <row r="40" spans="1:19">
      <c r="A40" s="102"/>
      <c r="B40" s="103"/>
      <c r="C40" s="4" t="s">
        <v>17</v>
      </c>
      <c r="D40" s="124">
        <f>C52</f>
        <v>7.0000000000000001E-3</v>
      </c>
      <c r="E40" s="124">
        <v>0.13700000000000001</v>
      </c>
      <c r="F40" s="124">
        <v>0.32800000000000001</v>
      </c>
      <c r="G40" s="124">
        <v>0.498</v>
      </c>
      <c r="H40" s="124">
        <v>0.65400000000000003</v>
      </c>
      <c r="I40" s="125"/>
      <c r="K40" s="151"/>
      <c r="L40" s="143"/>
      <c r="M40" s="152" t="s">
        <v>17</v>
      </c>
      <c r="N40" s="153">
        <f>M52</f>
        <v>7.0000000000000001E-3</v>
      </c>
      <c r="O40" s="153">
        <v>0.13700000000000001</v>
      </c>
      <c r="P40" s="153">
        <v>0.32800000000000001</v>
      </c>
      <c r="Q40" s="153">
        <v>0.498</v>
      </c>
      <c r="R40" s="153">
        <v>0.65400000000000003</v>
      </c>
      <c r="S40" s="154"/>
    </row>
    <row r="41" spans="1:19">
      <c r="A41" s="102" t="s">
        <v>20</v>
      </c>
      <c r="B41" s="103" t="s">
        <v>15</v>
      </c>
      <c r="C41" s="4" t="s">
        <v>16</v>
      </c>
      <c r="D41" s="124">
        <v>3.419</v>
      </c>
      <c r="E41" s="124">
        <v>3.2709999999999999</v>
      </c>
      <c r="F41" s="124">
        <v>3.109</v>
      </c>
      <c r="G41" s="124">
        <v>2.9390000000000001</v>
      </c>
      <c r="H41" s="124">
        <v>2.7719999999999998</v>
      </c>
      <c r="I41" s="124">
        <v>2.4590000000000001</v>
      </c>
      <c r="K41" s="151" t="s">
        <v>20</v>
      </c>
      <c r="L41" s="143" t="s">
        <v>15</v>
      </c>
      <c r="M41" s="152" t="s">
        <v>16</v>
      </c>
      <c r="N41" s="153">
        <v>3.419</v>
      </c>
      <c r="O41" s="153">
        <v>3.2709999999999999</v>
      </c>
      <c r="P41" s="153">
        <v>3.109</v>
      </c>
      <c r="Q41" s="153">
        <v>2.9390000000000001</v>
      </c>
      <c r="R41" s="153">
        <v>2.7719999999999998</v>
      </c>
      <c r="S41" s="153">
        <v>2.4590000000000001</v>
      </c>
    </row>
    <row r="42" spans="1:19">
      <c r="A42" s="102"/>
      <c r="B42" s="103"/>
      <c r="C42" s="4" t="s">
        <v>17</v>
      </c>
      <c r="D42" s="124">
        <v>0</v>
      </c>
      <c r="E42" s="124">
        <v>0.14799999999999999</v>
      </c>
      <c r="F42" s="124">
        <v>0.31</v>
      </c>
      <c r="G42" s="124">
        <v>0.48</v>
      </c>
      <c r="H42" s="124">
        <v>0.64700000000000002</v>
      </c>
      <c r="I42" s="124">
        <v>0.96</v>
      </c>
      <c r="K42" s="151"/>
      <c r="L42" s="143"/>
      <c r="M42" s="152" t="s">
        <v>17</v>
      </c>
      <c r="N42" s="153">
        <v>0</v>
      </c>
      <c r="O42" s="153">
        <v>0.14799999999999999</v>
      </c>
      <c r="P42" s="153">
        <v>0.31</v>
      </c>
      <c r="Q42" s="153">
        <v>0.48</v>
      </c>
      <c r="R42" s="153">
        <v>0.64700000000000002</v>
      </c>
      <c r="S42" s="153">
        <v>0.96</v>
      </c>
    </row>
    <row r="43" spans="1:19">
      <c r="A43" s="102"/>
      <c r="B43" s="103" t="s">
        <v>18</v>
      </c>
      <c r="C43" s="4" t="s">
        <v>16</v>
      </c>
      <c r="D43" s="124">
        <v>3.4289999999999998</v>
      </c>
      <c r="E43" s="124">
        <v>3.2610000000000001</v>
      </c>
      <c r="F43" s="124">
        <v>3.105</v>
      </c>
      <c r="G43" s="124">
        <v>2.93</v>
      </c>
      <c r="H43" s="124">
        <v>2.77</v>
      </c>
      <c r="I43" s="125"/>
      <c r="K43" s="151"/>
      <c r="L43" s="143" t="s">
        <v>18</v>
      </c>
      <c r="M43" s="152" t="s">
        <v>16</v>
      </c>
      <c r="N43" s="153">
        <v>3.4289999999999998</v>
      </c>
      <c r="O43" s="153">
        <v>3.2610000000000001</v>
      </c>
      <c r="P43" s="153">
        <v>3.105</v>
      </c>
      <c r="Q43" s="153">
        <v>2.93</v>
      </c>
      <c r="R43" s="153">
        <v>2.77</v>
      </c>
      <c r="S43" s="154"/>
    </row>
    <row r="44" spans="1:19">
      <c r="A44" s="102"/>
      <c r="B44" s="103"/>
      <c r="C44" s="4" t="s">
        <v>17</v>
      </c>
      <c r="D44" s="124">
        <v>-0.01</v>
      </c>
      <c r="E44" s="124">
        <v>0.158</v>
      </c>
      <c r="F44" s="124">
        <v>0.314</v>
      </c>
      <c r="G44" s="124">
        <v>0.48899999999999999</v>
      </c>
      <c r="H44" s="124">
        <v>0.64900000000000002</v>
      </c>
      <c r="I44" s="125"/>
      <c r="K44" s="151"/>
      <c r="L44" s="143"/>
      <c r="M44" s="152" t="s">
        <v>17</v>
      </c>
      <c r="N44" s="153">
        <v>-0.01</v>
      </c>
      <c r="O44" s="153">
        <v>0.158</v>
      </c>
      <c r="P44" s="153">
        <v>0.314</v>
      </c>
      <c r="Q44" s="153">
        <v>0.48899999999999999</v>
      </c>
      <c r="R44" s="153">
        <v>0.64900000000000002</v>
      </c>
      <c r="S44" s="154"/>
    </row>
    <row r="47" spans="1:19" ht="15.75" thickBot="1">
      <c r="A47" s="131" t="s">
        <v>123</v>
      </c>
      <c r="B47" s="131"/>
      <c r="C47" s="131"/>
      <c r="K47" s="131" t="s">
        <v>123</v>
      </c>
      <c r="L47" s="131"/>
      <c r="M47" s="131"/>
    </row>
    <row r="48" spans="1:19" ht="15.75" thickBot="1">
      <c r="C48" s="118" t="s">
        <v>121</v>
      </c>
      <c r="D48" s="119" t="s">
        <v>122</v>
      </c>
      <c r="M48" s="118" t="s">
        <v>121</v>
      </c>
      <c r="N48" s="119" t="s">
        <v>122</v>
      </c>
    </row>
    <row r="49" spans="3:14" ht="15.75" thickTop="1">
      <c r="C49" s="126">
        <v>0</v>
      </c>
      <c r="D49" s="120">
        <v>0</v>
      </c>
      <c r="M49" s="134">
        <v>0</v>
      </c>
      <c r="N49" s="120">
        <f>D49</f>
        <v>0</v>
      </c>
    </row>
    <row r="50" spans="3:14">
      <c r="C50" s="126">
        <v>3.0000000000000001E-3</v>
      </c>
      <c r="D50" s="120">
        <v>0</v>
      </c>
      <c r="M50" s="134">
        <v>3.0000000000000001E-3</v>
      </c>
      <c r="N50" s="120">
        <f t="shared" ref="N50:N81" si="0">D50</f>
        <v>0</v>
      </c>
    </row>
    <row r="51" spans="3:14">
      <c r="C51" s="126">
        <v>0</v>
      </c>
      <c r="D51" s="120">
        <v>0</v>
      </c>
      <c r="M51" s="134">
        <v>0</v>
      </c>
      <c r="N51" s="120">
        <f t="shared" si="0"/>
        <v>0</v>
      </c>
    </row>
    <row r="52" spans="3:14">
      <c r="C52" s="126">
        <v>7.0000000000000001E-3</v>
      </c>
      <c r="D52" s="120">
        <v>0</v>
      </c>
      <c r="M52" s="134">
        <v>7.0000000000000001E-3</v>
      </c>
      <c r="N52" s="120">
        <f t="shared" si="0"/>
        <v>0</v>
      </c>
    </row>
    <row r="53" spans="3:14">
      <c r="C53" s="126">
        <v>0</v>
      </c>
      <c r="D53" s="120">
        <v>0</v>
      </c>
      <c r="M53" s="134">
        <v>0</v>
      </c>
      <c r="N53" s="120">
        <f t="shared" si="0"/>
        <v>0</v>
      </c>
    </row>
    <row r="54" spans="3:14">
      <c r="C54" s="127">
        <v>-0.01</v>
      </c>
      <c r="D54" s="121">
        <v>0</v>
      </c>
      <c r="M54" s="135">
        <v>-0.01</v>
      </c>
      <c r="N54" s="140">
        <f t="shared" si="0"/>
        <v>0</v>
      </c>
    </row>
    <row r="55" spans="3:14">
      <c r="C55" s="126">
        <v>0.14799999999999999</v>
      </c>
      <c r="D55" s="120">
        <v>4.9000000000000004</v>
      </c>
      <c r="M55" s="136">
        <f>E34-$D$34</f>
        <v>0.14799999999999999</v>
      </c>
      <c r="N55" s="120">
        <f t="shared" si="0"/>
        <v>4.9000000000000004</v>
      </c>
    </row>
    <row r="56" spans="3:14">
      <c r="C56" s="126">
        <v>0.16200000000000001</v>
      </c>
      <c r="D56" s="120">
        <v>4.9000000000000004</v>
      </c>
      <c r="M56" s="136">
        <f>E36-$D$36</f>
        <v>0.159</v>
      </c>
      <c r="N56" s="120">
        <f t="shared" si="0"/>
        <v>4.9000000000000004</v>
      </c>
    </row>
    <row r="57" spans="3:14">
      <c r="C57" s="126">
        <v>0.14699999999999999</v>
      </c>
      <c r="D57" s="120">
        <v>4.9000000000000004</v>
      </c>
      <c r="M57" s="136">
        <f>E38-D38</f>
        <v>0.14699999999999999</v>
      </c>
      <c r="N57" s="120">
        <f t="shared" si="0"/>
        <v>4.9000000000000004</v>
      </c>
    </row>
    <row r="58" spans="3:14">
      <c r="C58" s="126">
        <v>0.13700000000000001</v>
      </c>
      <c r="D58" s="120">
        <v>4.9000000000000004</v>
      </c>
      <c r="M58" s="136">
        <f>E40-D40</f>
        <v>0.13</v>
      </c>
      <c r="N58" s="120">
        <f t="shared" si="0"/>
        <v>4.9000000000000004</v>
      </c>
    </row>
    <row r="59" spans="3:14">
      <c r="C59" s="126">
        <v>0.14799999999999999</v>
      </c>
      <c r="D59" s="120">
        <v>4.9000000000000004</v>
      </c>
      <c r="M59" s="136">
        <f>E42-D42</f>
        <v>0.14799999999999999</v>
      </c>
      <c r="N59" s="120">
        <f t="shared" si="0"/>
        <v>4.9000000000000004</v>
      </c>
    </row>
    <row r="60" spans="3:14">
      <c r="C60" s="127">
        <v>0.158</v>
      </c>
      <c r="D60" s="121">
        <v>4.9000000000000004</v>
      </c>
      <c r="M60" s="137">
        <f>E44-D44</f>
        <v>0.16800000000000001</v>
      </c>
      <c r="N60" s="140">
        <f t="shared" si="0"/>
        <v>4.9000000000000004</v>
      </c>
    </row>
    <row r="61" spans="3:14">
      <c r="C61" s="128">
        <v>0.308</v>
      </c>
      <c r="D61" s="120">
        <v>9.8000000000000007</v>
      </c>
      <c r="M61" s="136">
        <f>F34-$D$34</f>
        <v>0.308</v>
      </c>
      <c r="N61" s="120">
        <f t="shared" si="0"/>
        <v>9.8000000000000007</v>
      </c>
    </row>
    <row r="62" spans="3:14">
      <c r="C62" s="128">
        <v>0.32600000000000001</v>
      </c>
      <c r="D62" s="120">
        <v>9.8000000000000007</v>
      </c>
      <c r="M62" s="136">
        <f>F36-$D$36</f>
        <v>0.32300000000000001</v>
      </c>
      <c r="N62" s="120">
        <f t="shared" si="0"/>
        <v>9.8000000000000007</v>
      </c>
    </row>
    <row r="63" spans="3:14">
      <c r="C63" s="126">
        <v>0.312</v>
      </c>
      <c r="D63" s="120">
        <v>9.8000000000000007</v>
      </c>
      <c r="M63" s="136">
        <f>F38-D38</f>
        <v>0.312</v>
      </c>
      <c r="N63" s="120">
        <f t="shared" si="0"/>
        <v>9.8000000000000007</v>
      </c>
    </row>
    <row r="64" spans="3:14">
      <c r="C64" s="126">
        <v>0.32800000000000001</v>
      </c>
      <c r="D64" s="120">
        <v>9.8000000000000007</v>
      </c>
      <c r="M64" s="136">
        <f>F40-D40</f>
        <v>0.32100000000000001</v>
      </c>
      <c r="N64" s="120">
        <f t="shared" si="0"/>
        <v>9.8000000000000007</v>
      </c>
    </row>
    <row r="65" spans="3:14">
      <c r="C65" s="128">
        <v>0.31</v>
      </c>
      <c r="D65" s="120">
        <v>9.8000000000000007</v>
      </c>
      <c r="M65" s="136">
        <f>F42-D42</f>
        <v>0.31</v>
      </c>
      <c r="N65" s="120">
        <f t="shared" si="0"/>
        <v>9.8000000000000007</v>
      </c>
    </row>
    <row r="66" spans="3:14">
      <c r="C66" s="127">
        <v>0.314</v>
      </c>
      <c r="D66" s="121">
        <v>9.8000000000000007</v>
      </c>
      <c r="M66" s="137">
        <f>F44-D44</f>
        <v>0.32400000000000001</v>
      </c>
      <c r="N66" s="140">
        <f t="shared" si="0"/>
        <v>9.8000000000000007</v>
      </c>
    </row>
    <row r="67" spans="3:14">
      <c r="C67" s="128">
        <v>0.48499999999999999</v>
      </c>
      <c r="D67" s="120">
        <v>14.7</v>
      </c>
      <c r="M67" s="136">
        <f>G34-D34</f>
        <v>0.48499999999999999</v>
      </c>
      <c r="N67" s="120">
        <f t="shared" si="0"/>
        <v>14.7</v>
      </c>
    </row>
    <row r="68" spans="3:14">
      <c r="C68" s="128">
        <v>0.49</v>
      </c>
      <c r="D68" s="120">
        <v>14.7</v>
      </c>
      <c r="M68" s="136">
        <f>G36-D36</f>
        <v>0.48699999999999999</v>
      </c>
      <c r="N68" s="120">
        <f t="shared" si="0"/>
        <v>14.7</v>
      </c>
    </row>
    <row r="69" spans="3:14">
      <c r="C69" s="126">
        <v>0.47799999999999998</v>
      </c>
      <c r="D69" s="120">
        <v>14.7</v>
      </c>
      <c r="M69" s="136">
        <f>G38-D38</f>
        <v>0.47799999999999998</v>
      </c>
      <c r="N69" s="120">
        <f t="shared" si="0"/>
        <v>14.7</v>
      </c>
    </row>
    <row r="70" spans="3:14">
      <c r="C70" s="126">
        <v>0.498</v>
      </c>
      <c r="D70" s="120">
        <v>14.7</v>
      </c>
      <c r="M70" s="136">
        <f>G40-D40</f>
        <v>0.49099999999999999</v>
      </c>
      <c r="N70" s="120">
        <f t="shared" si="0"/>
        <v>14.7</v>
      </c>
    </row>
    <row r="71" spans="3:14">
      <c r="C71" s="128">
        <v>0.48</v>
      </c>
      <c r="D71" s="120">
        <v>14.7</v>
      </c>
      <c r="M71" s="136">
        <f>G42-D42</f>
        <v>0.48</v>
      </c>
      <c r="N71" s="120">
        <f t="shared" si="0"/>
        <v>14.7</v>
      </c>
    </row>
    <row r="72" spans="3:14">
      <c r="C72" s="127">
        <v>0.48899999999999999</v>
      </c>
      <c r="D72" s="121">
        <v>14.7</v>
      </c>
      <c r="M72" s="137">
        <f>G44-D44</f>
        <v>0.499</v>
      </c>
      <c r="N72" s="140">
        <f t="shared" si="0"/>
        <v>14.7</v>
      </c>
    </row>
    <row r="73" spans="3:14">
      <c r="C73" s="128">
        <v>0.63700000000000001</v>
      </c>
      <c r="D73" s="120">
        <v>19.600000000000001</v>
      </c>
      <c r="M73" s="136">
        <f>H34-D34</f>
        <v>0.63700000000000001</v>
      </c>
      <c r="N73" s="120">
        <f t="shared" si="0"/>
        <v>19.600000000000001</v>
      </c>
    </row>
    <row r="74" spans="3:14">
      <c r="C74" s="126">
        <v>0.64700000000000002</v>
      </c>
      <c r="D74" s="120">
        <v>19.600000000000001</v>
      </c>
      <c r="M74" s="136">
        <f>H36-D36</f>
        <v>0.64400000000000002</v>
      </c>
      <c r="N74" s="120">
        <f t="shared" si="0"/>
        <v>19.600000000000001</v>
      </c>
    </row>
    <row r="75" spans="3:14">
      <c r="C75" s="126">
        <v>0.63700000000000001</v>
      </c>
      <c r="D75" s="120">
        <v>19.600000000000001</v>
      </c>
      <c r="M75" s="136">
        <f>H38-D38</f>
        <v>0.63700000000000001</v>
      </c>
      <c r="N75" s="120">
        <f t="shared" si="0"/>
        <v>19.600000000000001</v>
      </c>
    </row>
    <row r="76" spans="3:14">
      <c r="C76" s="126">
        <v>0.65400000000000003</v>
      </c>
      <c r="D76" s="120">
        <v>19.600000000000001</v>
      </c>
      <c r="M76" s="136">
        <f>H40-D40</f>
        <v>0.64700000000000002</v>
      </c>
      <c r="N76" s="120">
        <f t="shared" si="0"/>
        <v>19.600000000000001</v>
      </c>
    </row>
    <row r="77" spans="3:14">
      <c r="C77" s="126">
        <v>0.64700000000000002</v>
      </c>
      <c r="D77" s="120">
        <v>19.600000000000001</v>
      </c>
      <c r="M77" s="136">
        <f>H42-D42</f>
        <v>0.64700000000000002</v>
      </c>
      <c r="N77" s="120">
        <f t="shared" si="0"/>
        <v>19.600000000000001</v>
      </c>
    </row>
    <row r="78" spans="3:14">
      <c r="C78" s="127">
        <v>0.64900000000000002</v>
      </c>
      <c r="D78" s="121">
        <v>19.600000000000001</v>
      </c>
      <c r="M78" s="137">
        <f>H44-D44</f>
        <v>0.65900000000000003</v>
      </c>
      <c r="N78" s="140">
        <f t="shared" si="0"/>
        <v>19.600000000000001</v>
      </c>
    </row>
    <row r="79" spans="3:14">
      <c r="C79" s="128">
        <v>0.95599999999999996</v>
      </c>
      <c r="D79" s="120">
        <v>29.4</v>
      </c>
      <c r="M79" s="138">
        <f>I34-D34</f>
        <v>0.95599999999999996</v>
      </c>
      <c r="N79" s="120">
        <f t="shared" si="0"/>
        <v>29.4</v>
      </c>
    </row>
    <row r="80" spans="3:14">
      <c r="C80" s="126">
        <v>0.96499999999999997</v>
      </c>
      <c r="D80" s="120">
        <v>29.4</v>
      </c>
      <c r="M80" s="136">
        <f>I38-D38</f>
        <v>0.96499999999999997</v>
      </c>
      <c r="N80" s="120">
        <f t="shared" si="0"/>
        <v>29.4</v>
      </c>
    </row>
    <row r="81" spans="3:14" ht="15.75" thickBot="1">
      <c r="C81" s="129">
        <v>0.96</v>
      </c>
      <c r="D81" s="122">
        <v>29.4</v>
      </c>
      <c r="M81" s="139">
        <f>I42-D42</f>
        <v>0.96</v>
      </c>
      <c r="N81" s="155">
        <f t="shared" si="0"/>
        <v>29.4</v>
      </c>
    </row>
  </sheetData>
  <mergeCells count="38">
    <mergeCell ref="S39:S40"/>
    <mergeCell ref="K41:K44"/>
    <mergeCell ref="L41:L42"/>
    <mergeCell ref="L43:L44"/>
    <mergeCell ref="S43:S44"/>
    <mergeCell ref="N31:S31"/>
    <mergeCell ref="K33:K36"/>
    <mergeCell ref="L33:L34"/>
    <mergeCell ref="L35:L36"/>
    <mergeCell ref="S35:S36"/>
    <mergeCell ref="A47:C47"/>
    <mergeCell ref="A30:C30"/>
    <mergeCell ref="A6:C6"/>
    <mergeCell ref="K30:M30"/>
    <mergeCell ref="K31:L32"/>
    <mergeCell ref="K37:K40"/>
    <mergeCell ref="L37:L38"/>
    <mergeCell ref="L39:L40"/>
    <mergeCell ref="K47:M47"/>
    <mergeCell ref="A10:C10"/>
    <mergeCell ref="G8:M8"/>
    <mergeCell ref="A1:E1"/>
    <mergeCell ref="C3:C4"/>
    <mergeCell ref="E3:K4"/>
    <mergeCell ref="A37:A40"/>
    <mergeCell ref="B37:B38"/>
    <mergeCell ref="B39:B40"/>
    <mergeCell ref="I39:I40"/>
    <mergeCell ref="A41:A44"/>
    <mergeCell ref="B41:B42"/>
    <mergeCell ref="B43:B44"/>
    <mergeCell ref="I43:I44"/>
    <mergeCell ref="A31:B32"/>
    <mergeCell ref="D31:I31"/>
    <mergeCell ref="A33:A36"/>
    <mergeCell ref="B33:B34"/>
    <mergeCell ref="B35:B36"/>
    <mergeCell ref="I35:I36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8"/>
  <sheetViews>
    <sheetView workbookViewId="0">
      <selection activeCell="B12" sqref="B12:F14"/>
    </sheetView>
  </sheetViews>
  <sheetFormatPr defaultColWidth="8.85546875" defaultRowHeight="15"/>
  <cols>
    <col min="1" max="1" width="26" customWidth="1"/>
    <col min="2" max="2" width="31.5703125" customWidth="1"/>
    <col min="3" max="3" width="16.5703125" customWidth="1"/>
    <col min="4" max="4" width="16.85546875" customWidth="1"/>
    <col min="5" max="5" width="24.28515625" customWidth="1"/>
    <col min="6" max="6" width="23.85546875" customWidth="1"/>
    <col min="7" max="7" width="16.85546875" customWidth="1"/>
    <col min="8" max="8" width="32.5703125" customWidth="1"/>
  </cols>
  <sheetData>
    <row r="1" spans="1:10">
      <c r="A1" s="158" t="s">
        <v>133</v>
      </c>
      <c r="B1" s="158"/>
    </row>
    <row r="3" spans="1:10">
      <c r="B3" s="88" t="s">
        <v>59</v>
      </c>
      <c r="C3" s="49" t="s">
        <v>60</v>
      </c>
      <c r="D3" s="161" t="s">
        <v>136</v>
      </c>
      <c r="E3" s="162"/>
      <c r="F3" s="162"/>
      <c r="G3" s="162"/>
      <c r="H3" s="162"/>
      <c r="I3" s="162"/>
      <c r="J3" s="162"/>
    </row>
    <row r="4" spans="1:10">
      <c r="B4" s="88"/>
      <c r="C4" s="38" t="s">
        <v>67</v>
      </c>
      <c r="D4" s="162"/>
      <c r="E4" s="162"/>
      <c r="F4" s="162"/>
      <c r="G4" s="162"/>
      <c r="H4" s="162"/>
      <c r="I4" s="162"/>
      <c r="J4" s="162"/>
    </row>
    <row r="6" spans="1:10">
      <c r="A6" s="80" t="s">
        <v>137</v>
      </c>
    </row>
    <row r="7" spans="1:10">
      <c r="B7" t="s">
        <v>138</v>
      </c>
    </row>
    <row r="8" spans="1:10" ht="15.75" thickBot="1">
      <c r="B8" s="167"/>
      <c r="C8" s="167" t="s">
        <v>139</v>
      </c>
      <c r="D8" s="167" t="s">
        <v>140</v>
      </c>
      <c r="E8" s="167" t="s">
        <v>132</v>
      </c>
      <c r="F8" s="167" t="s">
        <v>141</v>
      </c>
      <c r="G8" s="168" t="s">
        <v>154</v>
      </c>
      <c r="H8" s="168" t="s">
        <v>155</v>
      </c>
    </row>
    <row r="9" spans="1:10" ht="15.75" thickTop="1">
      <c r="B9" s="166" t="s">
        <v>158</v>
      </c>
      <c r="C9" s="170">
        <v>0.12</v>
      </c>
      <c r="D9" s="170">
        <v>0.22</v>
      </c>
      <c r="E9" s="170">
        <v>0.32</v>
      </c>
      <c r="F9" s="170">
        <v>0.6</v>
      </c>
      <c r="G9" s="170">
        <v>0.3</v>
      </c>
      <c r="H9" s="166">
        <f>F9-G9</f>
        <v>0.3</v>
      </c>
    </row>
    <row r="10" spans="1:10">
      <c r="B10" s="166" t="s">
        <v>159</v>
      </c>
      <c r="C10" s="170">
        <v>0.12</v>
      </c>
      <c r="D10" s="170">
        <v>0.22</v>
      </c>
      <c r="E10" s="170">
        <v>0.32</v>
      </c>
      <c r="F10" s="170">
        <v>0.6</v>
      </c>
      <c r="G10" s="170">
        <v>0.3</v>
      </c>
      <c r="H10" s="166">
        <f>F10-G10</f>
        <v>0.3</v>
      </c>
    </row>
    <row r="11" spans="1:10">
      <c r="B11" s="166" t="s">
        <v>162</v>
      </c>
      <c r="C11" s="170">
        <v>0.12</v>
      </c>
      <c r="D11" s="170">
        <v>0.22</v>
      </c>
      <c r="E11" s="170">
        <v>0.32</v>
      </c>
      <c r="F11" s="170">
        <v>0.6</v>
      </c>
      <c r="G11" s="170">
        <v>0.3</v>
      </c>
      <c r="H11" s="166">
        <f>F11-G11</f>
        <v>0.3</v>
      </c>
    </row>
    <row r="12" spans="1:10">
      <c r="B12" s="159" t="s">
        <v>142</v>
      </c>
      <c r="C12" s="159"/>
      <c r="D12" s="159"/>
      <c r="E12" s="159"/>
    </row>
    <row r="13" spans="1:10" ht="15.75" thickBot="1">
      <c r="B13" s="168"/>
      <c r="C13" s="167" t="s">
        <v>146</v>
      </c>
      <c r="D13" s="167" t="s">
        <v>25</v>
      </c>
      <c r="E13" s="167" t="s">
        <v>148</v>
      </c>
      <c r="F13" s="168" t="s">
        <v>163</v>
      </c>
    </row>
    <row r="14" spans="1:10" ht="15.75" thickTop="1">
      <c r="B14" s="163" t="s">
        <v>143</v>
      </c>
      <c r="C14" s="169">
        <v>19.600000000000001</v>
      </c>
      <c r="D14" s="170">
        <v>19.600000000000001</v>
      </c>
      <c r="E14" s="164">
        <f>D14+F14</f>
        <v>17.600000000000001</v>
      </c>
      <c r="F14" s="170">
        <f>-2</f>
        <v>-2</v>
      </c>
    </row>
    <row r="15" spans="1:10">
      <c r="B15" s="156" t="s">
        <v>144</v>
      </c>
      <c r="C15" s="159"/>
      <c r="D15" s="159"/>
      <c r="E15" s="159"/>
    </row>
    <row r="16" spans="1:10" ht="15.75" thickBot="1">
      <c r="B16" s="168"/>
      <c r="C16" s="167" t="s">
        <v>146</v>
      </c>
      <c r="D16" s="167" t="s">
        <v>25</v>
      </c>
      <c r="E16" s="167" t="s">
        <v>148</v>
      </c>
    </row>
    <row r="17" spans="2:9" ht="15.75" thickTop="1">
      <c r="B17" s="164" t="s">
        <v>145</v>
      </c>
      <c r="C17" s="166">
        <f>'実験1-試験片寸法-計算用'!C9</f>
        <v>207</v>
      </c>
      <c r="D17" s="166">
        <f>'実験1-試験片寸法-計算用'!C15</f>
        <v>206</v>
      </c>
      <c r="E17" s="166">
        <f>'実験1-試験片寸法-計算用'!C12</f>
        <v>206</v>
      </c>
    </row>
    <row r="18" spans="2:9">
      <c r="B18" s="156" t="s">
        <v>151</v>
      </c>
      <c r="C18" s="159"/>
      <c r="D18" s="159"/>
      <c r="E18" s="159"/>
    </row>
    <row r="19" spans="2:9" ht="15.75" thickBot="1">
      <c r="B19" s="168"/>
      <c r="C19" s="167" t="s">
        <v>146</v>
      </c>
      <c r="D19" s="167" t="s">
        <v>25</v>
      </c>
      <c r="E19" s="167" t="s">
        <v>148</v>
      </c>
      <c r="F19" s="168" t="s">
        <v>163</v>
      </c>
    </row>
    <row r="20" spans="2:9" ht="15.75" thickTop="1">
      <c r="B20" s="164" t="s">
        <v>152</v>
      </c>
      <c r="C20" s="166">
        <f>'実験1-試験片寸法-計算用'!K25</f>
        <v>31.88</v>
      </c>
      <c r="D20" s="166">
        <f>'実験1-試験片寸法-計算用'!E32</f>
        <v>32</v>
      </c>
      <c r="E20" s="164">
        <f>D20+F20</f>
        <v>32.200000000000003</v>
      </c>
      <c r="F20" s="170">
        <v>0.2</v>
      </c>
    </row>
    <row r="21" spans="2:9">
      <c r="B21" s="165" t="s">
        <v>153</v>
      </c>
      <c r="C21" s="163">
        <f>'実験1-試験片寸法-計算用'!L25</f>
        <v>4.9400000000000004</v>
      </c>
      <c r="D21" s="171">
        <f>'実験1-試験片寸法-計算用'!F32</f>
        <v>5</v>
      </c>
      <c r="E21" s="164">
        <f>D21+F21</f>
        <v>5.0999999999999996</v>
      </c>
      <c r="F21" s="169">
        <v>0.1</v>
      </c>
    </row>
    <row r="22" spans="2:9">
      <c r="B22" s="156" t="s">
        <v>149</v>
      </c>
      <c r="C22" s="159"/>
      <c r="D22" s="159"/>
      <c r="E22" s="159"/>
    </row>
    <row r="23" spans="2:9" ht="15.75" thickBot="1">
      <c r="B23" s="168"/>
      <c r="C23" s="167" t="s">
        <v>146</v>
      </c>
      <c r="D23" s="167" t="s">
        <v>25</v>
      </c>
      <c r="E23" s="167" t="s">
        <v>156</v>
      </c>
      <c r="F23" s="168" t="s">
        <v>157</v>
      </c>
      <c r="G23" s="168" t="s">
        <v>148</v>
      </c>
      <c r="H23" s="167" t="s">
        <v>156</v>
      </c>
      <c r="I23" s="167" t="s">
        <v>157</v>
      </c>
    </row>
    <row r="24" spans="2:9" ht="15.75" thickTop="1">
      <c r="B24" s="164" t="s">
        <v>150</v>
      </c>
      <c r="C24" s="166">
        <f>(C20*C21^2)/6</f>
        <v>129.66446133333335</v>
      </c>
      <c r="D24" s="166">
        <f>(D20*D21^2)/6</f>
        <v>133.33333333333334</v>
      </c>
      <c r="E24" s="166">
        <f>C24-D24</f>
        <v>-3.6688719999999932</v>
      </c>
      <c r="F24" s="172">
        <f>E24/D24</f>
        <v>-2.7516539999999947E-2</v>
      </c>
      <c r="G24" s="166">
        <f>E20*(E21^2)/6</f>
        <v>139.58700000000002</v>
      </c>
      <c r="H24" s="166">
        <f>G24-D24</f>
        <v>6.2536666666666747</v>
      </c>
      <c r="I24" s="166">
        <f>H24/D24</f>
        <v>4.6902500000000055E-2</v>
      </c>
    </row>
    <row r="25" spans="2:9">
      <c r="B25" s="156" t="s">
        <v>160</v>
      </c>
      <c r="C25" s="159"/>
      <c r="D25" s="159"/>
      <c r="E25" s="159"/>
    </row>
    <row r="26" spans="2:9" ht="15.75" thickBot="1">
      <c r="B26" s="167"/>
      <c r="C26" s="167" t="s">
        <v>146</v>
      </c>
      <c r="D26" s="167" t="s">
        <v>25</v>
      </c>
      <c r="E26" s="167" t="s">
        <v>156</v>
      </c>
      <c r="F26" s="168" t="s">
        <v>157</v>
      </c>
      <c r="G26" s="168" t="s">
        <v>148</v>
      </c>
      <c r="H26" s="167" t="s">
        <v>156</v>
      </c>
      <c r="I26" s="167" t="s">
        <v>157</v>
      </c>
    </row>
    <row r="27" spans="2:9" ht="15.75" thickTop="1">
      <c r="B27" s="166" t="s">
        <v>139</v>
      </c>
      <c r="C27" s="164">
        <f>($H$10/$F$10)*$C$14*C10</f>
        <v>1.1759999999999999</v>
      </c>
      <c r="D27" s="164">
        <f>($H$9/$F$9)*$D$14*C9</f>
        <v>1.1759999999999999</v>
      </c>
      <c r="E27" s="166">
        <f>C27-D27</f>
        <v>0</v>
      </c>
      <c r="F27" s="172">
        <f>E27/D27</f>
        <v>0</v>
      </c>
      <c r="G27" s="166">
        <f>(H11/F11)*E14*C11</f>
        <v>1.056</v>
      </c>
      <c r="H27" s="166">
        <f>G27-D27</f>
        <v>-0.11999999999999988</v>
      </c>
      <c r="I27" s="166">
        <f>H27/D27</f>
        <v>-0.10204081632653052</v>
      </c>
    </row>
    <row r="28" spans="2:9">
      <c r="B28" s="163" t="s">
        <v>140</v>
      </c>
      <c r="C28" s="164">
        <f>($H$10/$F$10)*$C$14*D10</f>
        <v>2.1560000000000001</v>
      </c>
      <c r="D28" s="164">
        <f>($H$9/$F$9)*$D$14*D9</f>
        <v>2.1560000000000001</v>
      </c>
      <c r="E28" s="166">
        <f t="shared" ref="E28:E29" si="0">C28-D28</f>
        <v>0</v>
      </c>
      <c r="F28" s="172">
        <f t="shared" ref="F28:F29" si="1">E28/D28</f>
        <v>0</v>
      </c>
      <c r="G28" s="163">
        <f>(H11/F11)*E14*D11</f>
        <v>1.9360000000000002</v>
      </c>
      <c r="H28" s="163">
        <f t="shared" ref="H28:H29" si="2">G28-D28</f>
        <v>-0.21999999999999997</v>
      </c>
      <c r="I28" s="163">
        <f t="shared" ref="I28:I29" si="3">H28/D28</f>
        <v>-0.10204081632653059</v>
      </c>
    </row>
    <row r="29" spans="2:9">
      <c r="B29" s="163" t="s">
        <v>132</v>
      </c>
      <c r="C29" s="165">
        <f>(G10/$F$10)*$C$14*(F10-E10)</f>
        <v>2.7439999999999998</v>
      </c>
      <c r="D29" s="165">
        <f>(H10/$F$10)*$C$14*(F10-E10)</f>
        <v>2.7439999999999998</v>
      </c>
      <c r="E29" s="166">
        <f t="shared" si="0"/>
        <v>0</v>
      </c>
      <c r="F29" s="172">
        <f t="shared" si="1"/>
        <v>0</v>
      </c>
      <c r="G29" s="163">
        <f>(G11/F11)*E14*E11</f>
        <v>2.8160000000000003</v>
      </c>
      <c r="H29" s="163">
        <f t="shared" si="2"/>
        <v>7.2000000000000508E-2</v>
      </c>
      <c r="I29" s="163">
        <f t="shared" si="3"/>
        <v>2.6239067055393774E-2</v>
      </c>
    </row>
    <row r="30" spans="2:9">
      <c r="B30" s="159" t="s">
        <v>161</v>
      </c>
      <c r="C30" s="159"/>
      <c r="D30" s="159"/>
      <c r="E30" s="159"/>
    </row>
    <row r="31" spans="2:9" ht="15.75" thickBot="1">
      <c r="B31" s="167"/>
      <c r="C31" s="167" t="s">
        <v>146</v>
      </c>
      <c r="D31" s="167" t="s">
        <v>25</v>
      </c>
      <c r="E31" s="167" t="s">
        <v>156</v>
      </c>
      <c r="F31" s="168" t="s">
        <v>157</v>
      </c>
      <c r="G31" s="181" t="s">
        <v>148</v>
      </c>
      <c r="H31" s="167" t="s">
        <v>156</v>
      </c>
      <c r="I31" s="167" t="s">
        <v>157</v>
      </c>
    </row>
    <row r="32" spans="2:9" ht="15.75" thickTop="1">
      <c r="B32" s="166" t="s">
        <v>164</v>
      </c>
      <c r="C32" s="173">
        <f>(C27/(($C$24*(10^(-9)))*($C$17*10^9)))*(10^6)</f>
        <v>43.814313975246336</v>
      </c>
      <c r="D32" s="173">
        <f>(D27/(($D$24*(10^(-9)))*($C$17*10^9)))*(10^6)</f>
        <v>42.6086956521739</v>
      </c>
      <c r="E32" s="166">
        <f>C32-D32</f>
        <v>1.2056183230724358</v>
      </c>
      <c r="F32" s="172">
        <f>E32/D32</f>
        <v>2.8295123908842888E-2</v>
      </c>
      <c r="G32" s="180">
        <f>(G27/($G$24*(10*(-9))*(1/$E$17*10^9)))*(10^6)</f>
        <v>-1.7315843643510261E-5</v>
      </c>
      <c r="H32" s="166">
        <f>G32-D32</f>
        <v>-42.608712968017542</v>
      </c>
      <c r="I32" s="166">
        <f>H32/D32</f>
        <v>-1.0000004063922487</v>
      </c>
    </row>
    <row r="33" spans="1:9">
      <c r="B33" s="163" t="s">
        <v>165</v>
      </c>
      <c r="C33" s="173">
        <f>(C28/(($C$24*(10^(-9)))*($C$17*10^9)))*(10^6)</f>
        <v>80.326242287951615</v>
      </c>
      <c r="D33" s="173">
        <f>(D28/(($D$24*(10^(-9)))*($C$17*10^9)))*(10^6)</f>
        <v>78.115942028985486</v>
      </c>
      <c r="E33" s="166">
        <f t="shared" ref="E33" si="4">C33-D33</f>
        <v>2.2103002589661287</v>
      </c>
      <c r="F33" s="172">
        <f t="shared" ref="F33:F34" si="5">E33/D33</f>
        <v>2.8295123908842843E-2</v>
      </c>
      <c r="G33" s="180">
        <f t="shared" ref="G33:G34" si="6">(G28/($G$24*(10*(-9))*(1/$E$17*10^9)))*(10^6)</f>
        <v>-3.1745713346435478E-5</v>
      </c>
      <c r="H33" s="163">
        <f t="shared" ref="H33" si="7">G33-D33</f>
        <v>-78.11597377469883</v>
      </c>
      <c r="I33" s="163">
        <f t="shared" ref="I33" si="8">H33/D33</f>
        <v>-1.0000004063922487</v>
      </c>
    </row>
    <row r="34" spans="1:9">
      <c r="B34" s="163" t="s">
        <v>166</v>
      </c>
      <c r="C34" s="173">
        <f>(C29/(($C$24*(10^(-9)))*($C$17*10^9)))*(10^6)</f>
        <v>102.23339927557477</v>
      </c>
      <c r="D34" s="173">
        <f>(D29/(($D$24*(10^(-9)))*($C$17*10^9)))*(10^6)</f>
        <v>99.420289855072426</v>
      </c>
      <c r="E34" s="174">
        <f>C34-D34</f>
        <v>2.813109420502343</v>
      </c>
      <c r="F34" s="172">
        <f t="shared" si="5"/>
        <v>2.8295123908842819E-2</v>
      </c>
      <c r="G34" s="180">
        <f t="shared" si="6"/>
        <v>-4.6175583049360695E-5</v>
      </c>
      <c r="H34" s="163">
        <f t="shared" ref="H34" si="9">G34-D34</f>
        <v>-99.420336030655477</v>
      </c>
      <c r="I34" s="163">
        <f t="shared" ref="I34" si="10">H34/D34</f>
        <v>-1.0000004644482843</v>
      </c>
    </row>
    <row r="35" spans="1:9">
      <c r="A35" s="80" t="s">
        <v>131</v>
      </c>
      <c r="B35" s="159"/>
      <c r="C35" s="159"/>
      <c r="D35" s="159"/>
      <c r="E35" s="159"/>
    </row>
    <row r="36" spans="1:9" ht="16.5">
      <c r="B36" s="109" t="s">
        <v>23</v>
      </c>
      <c r="C36" s="175" t="s">
        <v>28</v>
      </c>
      <c r="D36" s="176"/>
      <c r="E36" s="176"/>
      <c r="F36" s="176"/>
      <c r="G36" s="177"/>
    </row>
    <row r="37" spans="1:9" ht="15.75" thickBot="1">
      <c r="B37" s="110"/>
      <c r="C37" s="17" t="s">
        <v>14</v>
      </c>
      <c r="D37" s="17" t="s">
        <v>19</v>
      </c>
      <c r="E37" s="17" t="s">
        <v>20</v>
      </c>
      <c r="F37" s="87" t="s">
        <v>24</v>
      </c>
      <c r="G37" s="87" t="s">
        <v>25</v>
      </c>
    </row>
    <row r="38" spans="1:9" ht="15.75" thickTop="1">
      <c r="B38" s="16" t="s">
        <v>26</v>
      </c>
      <c r="C38" s="21">
        <v>-49</v>
      </c>
      <c r="D38" s="21">
        <v>-46.5</v>
      </c>
      <c r="E38" s="21">
        <v>-44</v>
      </c>
      <c r="F38" s="19">
        <f>AVERAGE(C38:E38)</f>
        <v>-46.5</v>
      </c>
      <c r="G38" s="178">
        <f>C32</f>
        <v>43.814313975246336</v>
      </c>
    </row>
    <row r="39" spans="1:9">
      <c r="B39" s="15" t="s">
        <v>27</v>
      </c>
      <c r="C39" s="22">
        <v>-89</v>
      </c>
      <c r="D39" s="22">
        <v>-85.75</v>
      </c>
      <c r="E39" s="22">
        <v>-82.25</v>
      </c>
      <c r="F39" s="19">
        <f t="shared" ref="F39:F40" si="11">AVERAGE(C39:E39)</f>
        <v>-85.666666666666671</v>
      </c>
      <c r="G39" s="179">
        <f>C33</f>
        <v>80.326242287951615</v>
      </c>
    </row>
    <row r="40" spans="1:9">
      <c r="B40" s="15" t="s">
        <v>29</v>
      </c>
      <c r="C40" s="22">
        <v>-203.75</v>
      </c>
      <c r="D40" s="22">
        <v>-214.25</v>
      </c>
      <c r="E40" s="22">
        <v>-218.5</v>
      </c>
      <c r="F40" s="19">
        <f t="shared" si="11"/>
        <v>-212.16666666666666</v>
      </c>
      <c r="G40" s="179">
        <f>C34*2</f>
        <v>204.46679855114954</v>
      </c>
    </row>
    <row r="41" spans="1:9">
      <c r="B41" s="20" t="s">
        <v>132</v>
      </c>
      <c r="C41" s="179">
        <f>C40/2</f>
        <v>-101.875</v>
      </c>
      <c r="D41" s="179">
        <f t="shared" ref="D41:F41" si="12">D40/2</f>
        <v>-107.125</v>
      </c>
      <c r="E41" s="179">
        <f t="shared" si="12"/>
        <v>-109.25</v>
      </c>
      <c r="F41" s="20">
        <f t="shared" si="12"/>
        <v>-106.08333333333333</v>
      </c>
      <c r="G41" s="179">
        <f>C34</f>
        <v>102.23339927557477</v>
      </c>
    </row>
    <row r="48" spans="1:9" ht="18" customHeight="1"/>
  </sheetData>
  <mergeCells count="5">
    <mergeCell ref="C36:G36"/>
    <mergeCell ref="B36:B37"/>
    <mergeCell ref="A1:B1"/>
    <mergeCell ref="B3:B4"/>
    <mergeCell ref="D3:J4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8"/>
  <sheetViews>
    <sheetView tabSelected="1" workbookViewId="0">
      <selection activeCell="F16" sqref="F16"/>
    </sheetView>
  </sheetViews>
  <sheetFormatPr defaultColWidth="13" defaultRowHeight="15"/>
  <cols>
    <col min="2" max="2" width="31.140625" customWidth="1"/>
    <col min="3" max="3" width="14.42578125" customWidth="1"/>
    <col min="4" max="4" width="16.140625" customWidth="1"/>
    <col min="5" max="5" width="25.140625" customWidth="1"/>
    <col min="6" max="6" width="24.28515625" customWidth="1"/>
    <col min="7" max="7" width="20.28515625" customWidth="1"/>
    <col min="8" max="8" width="34.28515625" customWidth="1"/>
  </cols>
  <sheetData>
    <row r="1" spans="1:10">
      <c r="A1" s="158" t="s">
        <v>133</v>
      </c>
      <c r="B1" s="158"/>
    </row>
    <row r="3" spans="1:10">
      <c r="B3" s="88" t="s">
        <v>59</v>
      </c>
      <c r="C3" s="49" t="s">
        <v>60</v>
      </c>
      <c r="D3" s="161" t="s">
        <v>136</v>
      </c>
      <c r="E3" s="162"/>
      <c r="F3" s="162"/>
      <c r="G3" s="162"/>
      <c r="H3" s="162"/>
      <c r="I3" s="162"/>
      <c r="J3" s="162"/>
    </row>
    <row r="4" spans="1:10">
      <c r="B4" s="88"/>
      <c r="C4" s="38" t="s">
        <v>67</v>
      </c>
      <c r="D4" s="162"/>
      <c r="E4" s="162"/>
      <c r="F4" s="162"/>
      <c r="G4" s="162"/>
      <c r="H4" s="162"/>
      <c r="I4" s="162"/>
      <c r="J4" s="162"/>
    </row>
    <row r="6" spans="1:10">
      <c r="A6" s="80" t="s">
        <v>137</v>
      </c>
    </row>
    <row r="7" spans="1:10">
      <c r="B7" t="s">
        <v>138</v>
      </c>
    </row>
    <row r="8" spans="1:10" ht="15.75" thickBot="1">
      <c r="B8" s="167"/>
      <c r="C8" s="167" t="s">
        <v>139</v>
      </c>
      <c r="D8" s="167" t="s">
        <v>140</v>
      </c>
      <c r="E8" s="167" t="s">
        <v>132</v>
      </c>
      <c r="F8" s="167" t="s">
        <v>141</v>
      </c>
      <c r="G8" s="168" t="s">
        <v>154</v>
      </c>
      <c r="H8" s="168" t="s">
        <v>155</v>
      </c>
    </row>
    <row r="9" spans="1:10" ht="15.75" thickTop="1">
      <c r="B9" s="166" t="s">
        <v>158</v>
      </c>
      <c r="C9" s="170">
        <v>0.12</v>
      </c>
      <c r="D9" s="170">
        <v>0.22</v>
      </c>
      <c r="E9" s="170">
        <v>0.32</v>
      </c>
      <c r="F9" s="170">
        <v>0.6</v>
      </c>
      <c r="G9" s="170">
        <v>0.3</v>
      </c>
      <c r="H9" s="166">
        <f>F9-G9</f>
        <v>0.3</v>
      </c>
    </row>
    <row r="10" spans="1:10">
      <c r="B10" s="166" t="s">
        <v>159</v>
      </c>
      <c r="C10" s="170">
        <v>0.12</v>
      </c>
      <c r="D10" s="170">
        <v>0.22</v>
      </c>
      <c r="E10" s="170">
        <v>0.32</v>
      </c>
      <c r="F10" s="170">
        <v>0.6</v>
      </c>
      <c r="G10" s="170">
        <v>0.3</v>
      </c>
      <c r="H10" s="166">
        <f>F10-G10</f>
        <v>0.3</v>
      </c>
    </row>
    <row r="11" spans="1:10">
      <c r="B11" s="166" t="s">
        <v>162</v>
      </c>
      <c r="C11" s="170">
        <v>0.12</v>
      </c>
      <c r="D11" s="170">
        <v>0.22</v>
      </c>
      <c r="E11" s="170">
        <v>0.32</v>
      </c>
      <c r="F11" s="170">
        <v>0.6</v>
      </c>
      <c r="G11" s="170">
        <v>0.3</v>
      </c>
      <c r="H11" s="166">
        <f>F11-G11</f>
        <v>0.3</v>
      </c>
    </row>
    <row r="12" spans="1:10">
      <c r="B12" s="159" t="s">
        <v>142</v>
      </c>
      <c r="C12" s="159"/>
      <c r="D12" s="159"/>
      <c r="E12" s="159"/>
      <c r="H12" s="159"/>
    </row>
    <row r="13" spans="1:10" ht="15.75" thickBot="1">
      <c r="B13" s="168"/>
      <c r="C13" s="167" t="s">
        <v>146</v>
      </c>
      <c r="D13" s="167" t="s">
        <v>25</v>
      </c>
      <c r="E13" s="167" t="s">
        <v>148</v>
      </c>
      <c r="F13" s="168" t="s">
        <v>163</v>
      </c>
      <c r="H13" s="159"/>
    </row>
    <row r="14" spans="1:10" ht="15.75" thickTop="1">
      <c r="B14" s="163" t="s">
        <v>143</v>
      </c>
      <c r="C14" s="169">
        <v>19.600000000000001</v>
      </c>
      <c r="D14" s="170">
        <v>19.600000000000001</v>
      </c>
      <c r="E14" s="164">
        <f>D14+F14</f>
        <v>17.600000000000001</v>
      </c>
      <c r="F14" s="170">
        <f>-2</f>
        <v>-2</v>
      </c>
      <c r="H14" s="159"/>
    </row>
    <row r="23" spans="1:12" ht="15.75" thickBot="1">
      <c r="A23" s="182" t="s">
        <v>172</v>
      </c>
      <c r="B23" s="182"/>
      <c r="C23" s="182"/>
      <c r="D23" s="182"/>
      <c r="E23" s="182" t="s">
        <v>171</v>
      </c>
      <c r="F23" s="182"/>
      <c r="G23" s="182"/>
      <c r="H23" s="182"/>
      <c r="I23" s="182" t="s">
        <v>170</v>
      </c>
      <c r="J23" s="182"/>
      <c r="K23" s="182"/>
      <c r="L23" s="182"/>
    </row>
    <row r="24" spans="1:12" ht="15.75" thickTop="1"/>
    <row r="40" spans="1:12">
      <c r="B40" s="130"/>
    </row>
    <row r="46" spans="1:12" ht="15.75" thickBot="1">
      <c r="A46" s="182" t="s">
        <v>146</v>
      </c>
      <c r="B46" s="182"/>
      <c r="C46" s="182"/>
      <c r="D46" s="182"/>
      <c r="E46" s="182" t="s">
        <v>146</v>
      </c>
      <c r="F46" s="182"/>
      <c r="G46" s="182"/>
      <c r="H46" s="182"/>
      <c r="I46" s="182" t="s">
        <v>146</v>
      </c>
      <c r="J46" s="182"/>
      <c r="K46" s="182"/>
      <c r="L46" s="182"/>
    </row>
    <row r="47" spans="1:12" ht="16.5" thickTop="1" thickBot="1">
      <c r="A47" s="183" t="s">
        <v>167</v>
      </c>
      <c r="B47" s="183" t="s">
        <v>168</v>
      </c>
      <c r="C47" s="183" t="s">
        <v>167</v>
      </c>
      <c r="D47" s="183" t="s">
        <v>169</v>
      </c>
      <c r="E47" s="183" t="s">
        <v>167</v>
      </c>
      <c r="F47" s="183" t="s">
        <v>168</v>
      </c>
      <c r="G47" s="183" t="s">
        <v>167</v>
      </c>
      <c r="H47" s="183" t="s">
        <v>169</v>
      </c>
      <c r="I47" s="183" t="s">
        <v>167</v>
      </c>
      <c r="J47" s="183" t="s">
        <v>168</v>
      </c>
      <c r="K47" s="183" t="s">
        <v>167</v>
      </c>
      <c r="L47" s="183" t="s">
        <v>169</v>
      </c>
    </row>
    <row r="48" spans="1:12">
      <c r="I48" s="130" t="s">
        <v>167</v>
      </c>
      <c r="J48" s="130" t="s">
        <v>168</v>
      </c>
      <c r="K48" s="130" t="s">
        <v>167</v>
      </c>
      <c r="L48" s="130" t="s">
        <v>169</v>
      </c>
    </row>
  </sheetData>
  <mergeCells count="9">
    <mergeCell ref="A46:D46"/>
    <mergeCell ref="E46:H46"/>
    <mergeCell ref="I46:L46"/>
    <mergeCell ref="A23:D23"/>
    <mergeCell ref="E23:H23"/>
    <mergeCell ref="I23:L23"/>
    <mergeCell ref="A1:B1"/>
    <mergeCell ref="B3:B4"/>
    <mergeCell ref="D3:J4"/>
  </mergeCells>
  <pageMargins left="0.7" right="0.7" top="0.75" bottom="0.75" header="0.3" footer="0.3"/>
  <pageSetup paperSize="9" orientation="portrait" horizontalDpi="0" verticalDpi="0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</xdr:col>
                <xdr:colOff>47625</xdr:colOff>
                <xdr:row>18</xdr:row>
                <xdr:rowOff>38100</xdr:rowOff>
              </from>
              <to>
                <xdr:col>2</xdr:col>
                <xdr:colOff>885825</xdr:colOff>
                <xdr:row>20</xdr:row>
                <xdr:rowOff>123825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67"/>
  <sheetViews>
    <sheetView workbookViewId="0">
      <selection activeCell="C6" sqref="C6"/>
    </sheetView>
  </sheetViews>
  <sheetFormatPr defaultColWidth="13" defaultRowHeight="15"/>
  <sheetData>
    <row r="1" spans="1:14">
      <c r="A1" t="s">
        <v>42</v>
      </c>
      <c r="B1">
        <v>0.32</v>
      </c>
      <c r="C1" t="s">
        <v>46</v>
      </c>
      <c r="D1">
        <f>(-B2*19.6)/0.62</f>
        <v>-9.4838709677419359</v>
      </c>
    </row>
    <row r="2" spans="1:14">
      <c r="A2" t="s">
        <v>43</v>
      </c>
      <c r="B2">
        <v>0.3</v>
      </c>
      <c r="C2" t="s">
        <v>47</v>
      </c>
      <c r="D2">
        <f>(B1*19.6/0.62)</f>
        <v>10.116129032258065</v>
      </c>
      <c r="E2">
        <f>B1*19.6</f>
        <v>6.2720000000000002</v>
      </c>
      <c r="G2" s="80" t="s">
        <v>92</v>
      </c>
      <c r="H2" s="80"/>
      <c r="I2" s="80"/>
    </row>
    <row r="3" spans="1:14">
      <c r="B3" t="s">
        <v>89</v>
      </c>
      <c r="D3" t="s">
        <v>90</v>
      </c>
      <c r="F3" t="s">
        <v>91</v>
      </c>
      <c r="G3" s="80" t="s">
        <v>86</v>
      </c>
      <c r="H3" s="80"/>
      <c r="I3" s="80"/>
    </row>
    <row r="4" spans="1:14">
      <c r="B4" t="s">
        <v>44</v>
      </c>
      <c r="C4" t="s">
        <v>45</v>
      </c>
      <c r="D4" t="s">
        <v>44</v>
      </c>
      <c r="E4" t="s">
        <v>48</v>
      </c>
      <c r="G4" s="80" t="s">
        <v>87</v>
      </c>
      <c r="H4" s="80"/>
      <c r="I4" s="80"/>
    </row>
    <row r="5" spans="1:14">
      <c r="B5">
        <v>0</v>
      </c>
      <c r="C5">
        <f>$D$1*B5</f>
        <v>0</v>
      </c>
      <c r="D5">
        <v>0</v>
      </c>
      <c r="E5">
        <f>$D$1</f>
        <v>-9.4838709677419359</v>
      </c>
      <c r="G5" s="80" t="s">
        <v>88</v>
      </c>
      <c r="H5" s="80"/>
      <c r="I5" s="80"/>
    </row>
    <row r="6" spans="1:14">
      <c r="B6">
        <v>0.01</v>
      </c>
      <c r="C6">
        <f t="shared" ref="C6:C37" si="0">$D$1*B6</f>
        <v>-9.4838709677419364E-2</v>
      </c>
      <c r="D6">
        <v>0.01</v>
      </c>
      <c r="E6">
        <f t="shared" ref="E6:E37" si="1">$D$1</f>
        <v>-9.4838709677419359</v>
      </c>
      <c r="G6" s="80" t="s">
        <v>93</v>
      </c>
    </row>
    <row r="7" spans="1:14">
      <c r="B7">
        <v>0.02</v>
      </c>
      <c r="C7">
        <f t="shared" si="0"/>
        <v>-0.18967741935483873</v>
      </c>
      <c r="D7">
        <v>0.02</v>
      </c>
      <c r="E7">
        <f t="shared" si="1"/>
        <v>-9.4838709677419359</v>
      </c>
      <c r="G7" s="80" t="s">
        <v>94</v>
      </c>
    </row>
    <row r="8" spans="1:14">
      <c r="B8">
        <v>0.03</v>
      </c>
      <c r="C8">
        <f t="shared" si="0"/>
        <v>-0.28451612903225809</v>
      </c>
      <c r="D8">
        <v>0.03</v>
      </c>
      <c r="E8">
        <f t="shared" si="1"/>
        <v>-9.4838709677419359</v>
      </c>
      <c r="G8" s="80" t="s">
        <v>95</v>
      </c>
    </row>
    <row r="9" spans="1:14">
      <c r="B9">
        <v>0.04</v>
      </c>
      <c r="C9">
        <f t="shared" si="0"/>
        <v>-0.37935483870967746</v>
      </c>
      <c r="D9">
        <v>0.04</v>
      </c>
      <c r="E9">
        <f t="shared" si="1"/>
        <v>-9.4838709677419359</v>
      </c>
      <c r="G9" s="80" t="s">
        <v>102</v>
      </c>
    </row>
    <row r="10" spans="1:14">
      <c r="B10">
        <v>0.05</v>
      </c>
      <c r="C10">
        <f t="shared" si="0"/>
        <v>-0.47419354838709682</v>
      </c>
      <c r="D10">
        <v>0.05</v>
      </c>
      <c r="E10">
        <f t="shared" si="1"/>
        <v>-9.4838709677419359</v>
      </c>
      <c r="G10" s="80" t="s">
        <v>97</v>
      </c>
      <c r="H10" s="80"/>
      <c r="I10" s="80"/>
      <c r="J10" s="80"/>
      <c r="K10" s="80"/>
      <c r="L10" s="80"/>
      <c r="M10" s="80"/>
      <c r="N10" s="80"/>
    </row>
    <row r="11" spans="1:14">
      <c r="B11">
        <v>0.06</v>
      </c>
      <c r="C11">
        <f t="shared" si="0"/>
        <v>-0.56903225806451618</v>
      </c>
      <c r="D11">
        <v>0.06</v>
      </c>
      <c r="E11">
        <f t="shared" si="1"/>
        <v>-9.4838709677419359</v>
      </c>
      <c r="G11" s="80" t="s">
        <v>96</v>
      </c>
    </row>
    <row r="12" spans="1:14">
      <c r="B12">
        <v>7.0000000000000007E-2</v>
      </c>
      <c r="C12">
        <f t="shared" si="0"/>
        <v>-0.66387096774193555</v>
      </c>
      <c r="D12">
        <v>7.0000000000000007E-2</v>
      </c>
      <c r="E12">
        <f t="shared" si="1"/>
        <v>-9.4838709677419359</v>
      </c>
    </row>
    <row r="13" spans="1:14">
      <c r="B13">
        <v>0.08</v>
      </c>
      <c r="C13">
        <f t="shared" si="0"/>
        <v>-0.75870967741935491</v>
      </c>
      <c r="D13">
        <v>0.08</v>
      </c>
      <c r="E13">
        <f t="shared" si="1"/>
        <v>-9.4838709677419359</v>
      </c>
    </row>
    <row r="14" spans="1:14">
      <c r="B14">
        <v>0.09</v>
      </c>
      <c r="C14">
        <f t="shared" si="0"/>
        <v>-0.85354838709677416</v>
      </c>
      <c r="D14">
        <v>0.09</v>
      </c>
      <c r="E14">
        <f t="shared" si="1"/>
        <v>-9.4838709677419359</v>
      </c>
    </row>
    <row r="15" spans="1:14">
      <c r="B15">
        <v>0.1</v>
      </c>
      <c r="C15">
        <f t="shared" si="0"/>
        <v>-0.94838709677419364</v>
      </c>
      <c r="D15">
        <v>0.1</v>
      </c>
      <c r="E15">
        <f t="shared" si="1"/>
        <v>-9.4838709677419359</v>
      </c>
    </row>
    <row r="16" spans="1:14">
      <c r="B16">
        <v>0.11</v>
      </c>
      <c r="C16">
        <f t="shared" si="0"/>
        <v>-1.0432258064516129</v>
      </c>
      <c r="D16">
        <v>0.11</v>
      </c>
      <c r="E16">
        <f t="shared" si="1"/>
        <v>-9.4838709677419359</v>
      </c>
    </row>
    <row r="17" spans="2:5">
      <c r="B17">
        <v>0.12</v>
      </c>
      <c r="C17">
        <f t="shared" si="0"/>
        <v>-1.1380645161290324</v>
      </c>
      <c r="D17">
        <v>0.12</v>
      </c>
      <c r="E17">
        <f t="shared" si="1"/>
        <v>-9.4838709677419359</v>
      </c>
    </row>
    <row r="18" spans="2:5">
      <c r="B18">
        <v>0.13</v>
      </c>
      <c r="C18">
        <f t="shared" si="0"/>
        <v>-1.2329032258064516</v>
      </c>
      <c r="D18">
        <v>0.13</v>
      </c>
      <c r="E18">
        <f t="shared" si="1"/>
        <v>-9.4838709677419359</v>
      </c>
    </row>
    <row r="19" spans="2:5">
      <c r="B19">
        <v>0.14000000000000001</v>
      </c>
      <c r="C19">
        <f t="shared" si="0"/>
        <v>-1.3277419354838711</v>
      </c>
      <c r="D19">
        <v>0.14000000000000001</v>
      </c>
      <c r="E19">
        <f t="shared" si="1"/>
        <v>-9.4838709677419359</v>
      </c>
    </row>
    <row r="20" spans="2:5">
      <c r="B20">
        <v>0.15</v>
      </c>
      <c r="C20">
        <f t="shared" si="0"/>
        <v>-1.4225806451612903</v>
      </c>
      <c r="D20">
        <v>0.15</v>
      </c>
      <c r="E20">
        <f t="shared" si="1"/>
        <v>-9.4838709677419359</v>
      </c>
    </row>
    <row r="21" spans="2:5">
      <c r="B21">
        <v>0.16</v>
      </c>
      <c r="C21">
        <f t="shared" si="0"/>
        <v>-1.5174193548387098</v>
      </c>
      <c r="D21">
        <v>0.16</v>
      </c>
      <c r="E21">
        <f t="shared" si="1"/>
        <v>-9.4838709677419359</v>
      </c>
    </row>
    <row r="22" spans="2:5">
      <c r="B22">
        <v>0.17</v>
      </c>
      <c r="C22">
        <f t="shared" si="0"/>
        <v>-1.6122580645161293</v>
      </c>
      <c r="D22">
        <v>0.17</v>
      </c>
      <c r="E22">
        <f t="shared" si="1"/>
        <v>-9.4838709677419359</v>
      </c>
    </row>
    <row r="23" spans="2:5">
      <c r="B23">
        <v>0.18</v>
      </c>
      <c r="C23">
        <f t="shared" si="0"/>
        <v>-1.7070967741935483</v>
      </c>
      <c r="D23">
        <v>0.18</v>
      </c>
      <c r="E23">
        <f t="shared" si="1"/>
        <v>-9.4838709677419359</v>
      </c>
    </row>
    <row r="24" spans="2:5">
      <c r="B24">
        <v>0.19</v>
      </c>
      <c r="C24">
        <f t="shared" si="0"/>
        <v>-1.8019354838709678</v>
      </c>
      <c r="D24">
        <v>0.19</v>
      </c>
      <c r="E24">
        <f t="shared" si="1"/>
        <v>-9.4838709677419359</v>
      </c>
    </row>
    <row r="25" spans="2:5">
      <c r="B25">
        <v>0.2</v>
      </c>
      <c r="C25">
        <f t="shared" si="0"/>
        <v>-1.8967741935483873</v>
      </c>
      <c r="D25">
        <v>0.2</v>
      </c>
      <c r="E25">
        <f t="shared" si="1"/>
        <v>-9.4838709677419359</v>
      </c>
    </row>
    <row r="26" spans="2:5">
      <c r="B26">
        <v>0.21</v>
      </c>
      <c r="C26">
        <f t="shared" si="0"/>
        <v>-1.9916129032258065</v>
      </c>
      <c r="D26">
        <v>0.21</v>
      </c>
      <c r="E26">
        <f t="shared" si="1"/>
        <v>-9.4838709677419359</v>
      </c>
    </row>
    <row r="27" spans="2:5">
      <c r="B27">
        <v>0.22</v>
      </c>
      <c r="C27">
        <f t="shared" si="0"/>
        <v>-2.0864516129032258</v>
      </c>
      <c r="D27">
        <v>0.22</v>
      </c>
      <c r="E27">
        <f t="shared" si="1"/>
        <v>-9.4838709677419359</v>
      </c>
    </row>
    <row r="28" spans="2:5">
      <c r="B28">
        <v>0.23</v>
      </c>
      <c r="C28">
        <f t="shared" si="0"/>
        <v>-2.1812903225806455</v>
      </c>
      <c r="D28">
        <v>0.23</v>
      </c>
      <c r="E28">
        <f t="shared" si="1"/>
        <v>-9.4838709677419359</v>
      </c>
    </row>
    <row r="29" spans="2:5">
      <c r="B29">
        <v>0.24</v>
      </c>
      <c r="C29">
        <f t="shared" si="0"/>
        <v>-2.2761290322580647</v>
      </c>
      <c r="D29">
        <v>0.24</v>
      </c>
      <c r="E29">
        <f t="shared" si="1"/>
        <v>-9.4838709677419359</v>
      </c>
    </row>
    <row r="30" spans="2:5">
      <c r="B30">
        <v>0.25</v>
      </c>
      <c r="C30">
        <f t="shared" si="0"/>
        <v>-2.370967741935484</v>
      </c>
      <c r="D30">
        <v>0.25</v>
      </c>
      <c r="E30">
        <f t="shared" si="1"/>
        <v>-9.4838709677419359</v>
      </c>
    </row>
    <row r="31" spans="2:5">
      <c r="B31">
        <v>0.26</v>
      </c>
      <c r="C31">
        <f t="shared" si="0"/>
        <v>-2.4658064516129032</v>
      </c>
      <c r="D31">
        <v>0.26</v>
      </c>
      <c r="E31">
        <f t="shared" si="1"/>
        <v>-9.4838709677419359</v>
      </c>
    </row>
    <row r="32" spans="2:5">
      <c r="B32">
        <v>0.27</v>
      </c>
      <c r="C32">
        <f t="shared" si="0"/>
        <v>-2.5606451612903229</v>
      </c>
      <c r="D32">
        <v>0.27</v>
      </c>
      <c r="E32">
        <f t="shared" si="1"/>
        <v>-9.4838709677419359</v>
      </c>
    </row>
    <row r="33" spans="2:5">
      <c r="B33">
        <v>0.28000000000000003</v>
      </c>
      <c r="C33">
        <f t="shared" si="0"/>
        <v>-2.6554838709677422</v>
      </c>
      <c r="D33">
        <v>0.28000000000000003</v>
      </c>
      <c r="E33">
        <f t="shared" si="1"/>
        <v>-9.4838709677419359</v>
      </c>
    </row>
    <row r="34" spans="2:5">
      <c r="B34">
        <v>0.28999999999999998</v>
      </c>
      <c r="C34">
        <f t="shared" si="0"/>
        <v>-2.7503225806451614</v>
      </c>
      <c r="D34">
        <v>0.28999999999999998</v>
      </c>
      <c r="E34">
        <f t="shared" si="1"/>
        <v>-9.4838709677419359</v>
      </c>
    </row>
    <row r="35" spans="2:5">
      <c r="B35">
        <v>0.3</v>
      </c>
      <c r="C35">
        <f t="shared" si="0"/>
        <v>-2.8451612903225807</v>
      </c>
      <c r="D35">
        <v>0.3</v>
      </c>
      <c r="E35">
        <f t="shared" si="1"/>
        <v>-9.4838709677419359</v>
      </c>
    </row>
    <row r="36" spans="2:5">
      <c r="B36">
        <v>0.31</v>
      </c>
      <c r="C36">
        <f t="shared" si="0"/>
        <v>-2.94</v>
      </c>
      <c r="D36">
        <v>0.31</v>
      </c>
      <c r="E36">
        <f t="shared" si="1"/>
        <v>-9.4838709677419359</v>
      </c>
    </row>
    <row r="37" spans="2:5">
      <c r="B37">
        <v>0.32</v>
      </c>
      <c r="C37">
        <f t="shared" si="0"/>
        <v>-3.0348387096774196</v>
      </c>
      <c r="D37">
        <v>0.32</v>
      </c>
      <c r="E37">
        <f t="shared" si="1"/>
        <v>-9.4838709677419359</v>
      </c>
    </row>
    <row r="38" spans="2:5">
      <c r="B38">
        <v>0.33</v>
      </c>
      <c r="C38">
        <f>$D$2*B38-$E$2</f>
        <v>-2.9336774193548383</v>
      </c>
      <c r="D38">
        <v>0.33</v>
      </c>
      <c r="E38">
        <f>$D$2</f>
        <v>10.116129032258065</v>
      </c>
    </row>
    <row r="39" spans="2:5">
      <c r="B39">
        <v>0.34</v>
      </c>
      <c r="C39">
        <f t="shared" ref="C39:C67" si="2">$D$2*B39-$E$2</f>
        <v>-2.8325161290322578</v>
      </c>
      <c r="D39">
        <v>0.34</v>
      </c>
      <c r="E39">
        <f t="shared" ref="E39:E67" si="3">$D$2</f>
        <v>10.116129032258065</v>
      </c>
    </row>
    <row r="40" spans="2:5">
      <c r="B40">
        <v>0.35</v>
      </c>
      <c r="C40">
        <f t="shared" si="2"/>
        <v>-2.7313548387096778</v>
      </c>
      <c r="D40">
        <v>0.35</v>
      </c>
      <c r="E40">
        <f t="shared" si="3"/>
        <v>10.116129032258065</v>
      </c>
    </row>
    <row r="41" spans="2:5">
      <c r="B41">
        <v>0.36</v>
      </c>
      <c r="C41">
        <f t="shared" si="2"/>
        <v>-2.6301935483870968</v>
      </c>
      <c r="D41">
        <v>0.36</v>
      </c>
      <c r="E41">
        <f t="shared" si="3"/>
        <v>10.116129032258065</v>
      </c>
    </row>
    <row r="42" spans="2:5">
      <c r="B42">
        <v>0.37</v>
      </c>
      <c r="C42">
        <f t="shared" si="2"/>
        <v>-2.5290322580645159</v>
      </c>
      <c r="D42">
        <v>0.37</v>
      </c>
      <c r="E42">
        <f t="shared" si="3"/>
        <v>10.116129032258065</v>
      </c>
    </row>
    <row r="43" spans="2:5">
      <c r="B43">
        <v>0.38</v>
      </c>
      <c r="C43">
        <f t="shared" si="2"/>
        <v>-2.4278709677419354</v>
      </c>
      <c r="D43">
        <v>0.38</v>
      </c>
      <c r="E43">
        <f t="shared" si="3"/>
        <v>10.116129032258065</v>
      </c>
    </row>
    <row r="44" spans="2:5">
      <c r="B44">
        <v>0.39</v>
      </c>
      <c r="C44">
        <f t="shared" si="2"/>
        <v>-2.3267096774193545</v>
      </c>
      <c r="D44">
        <v>0.39</v>
      </c>
      <c r="E44">
        <f t="shared" si="3"/>
        <v>10.116129032258065</v>
      </c>
    </row>
    <row r="45" spans="2:5">
      <c r="B45">
        <v>0.4</v>
      </c>
      <c r="C45">
        <f t="shared" si="2"/>
        <v>-2.2255483870967741</v>
      </c>
      <c r="D45">
        <v>0.4</v>
      </c>
      <c r="E45">
        <f t="shared" si="3"/>
        <v>10.116129032258065</v>
      </c>
    </row>
    <row r="46" spans="2:5">
      <c r="B46">
        <v>0.41</v>
      </c>
      <c r="C46">
        <f t="shared" si="2"/>
        <v>-2.1243870967741936</v>
      </c>
      <c r="D46">
        <v>0.41</v>
      </c>
      <c r="E46">
        <f t="shared" si="3"/>
        <v>10.116129032258065</v>
      </c>
    </row>
    <row r="47" spans="2:5">
      <c r="B47">
        <v>0.42</v>
      </c>
      <c r="C47">
        <f t="shared" si="2"/>
        <v>-2.0232258064516131</v>
      </c>
      <c r="D47">
        <v>0.42</v>
      </c>
      <c r="E47">
        <f t="shared" si="3"/>
        <v>10.116129032258065</v>
      </c>
    </row>
    <row r="48" spans="2:5">
      <c r="B48">
        <v>0.43</v>
      </c>
      <c r="C48">
        <f t="shared" si="2"/>
        <v>-1.9220645161290317</v>
      </c>
      <c r="D48">
        <v>0.43</v>
      </c>
      <c r="E48">
        <f t="shared" si="3"/>
        <v>10.116129032258065</v>
      </c>
    </row>
    <row r="49" spans="2:5">
      <c r="B49">
        <v>0.44</v>
      </c>
      <c r="C49">
        <f t="shared" si="2"/>
        <v>-1.8209032258064513</v>
      </c>
      <c r="D49">
        <v>0.44</v>
      </c>
      <c r="E49">
        <f t="shared" si="3"/>
        <v>10.116129032258065</v>
      </c>
    </row>
    <row r="50" spans="2:5">
      <c r="B50">
        <v>0.45</v>
      </c>
      <c r="C50">
        <f t="shared" si="2"/>
        <v>-1.7197419354838708</v>
      </c>
      <c r="D50">
        <v>0.45</v>
      </c>
      <c r="E50">
        <f t="shared" si="3"/>
        <v>10.116129032258065</v>
      </c>
    </row>
    <row r="51" spans="2:5">
      <c r="B51">
        <v>0.46</v>
      </c>
      <c r="C51">
        <f t="shared" si="2"/>
        <v>-1.6185806451612903</v>
      </c>
      <c r="D51">
        <v>0.46</v>
      </c>
      <c r="E51">
        <f t="shared" si="3"/>
        <v>10.116129032258065</v>
      </c>
    </row>
    <row r="52" spans="2:5">
      <c r="B52">
        <v>0.47</v>
      </c>
      <c r="C52">
        <f t="shared" si="2"/>
        <v>-1.5174193548387098</v>
      </c>
      <c r="D52">
        <v>0.47</v>
      </c>
      <c r="E52">
        <f t="shared" si="3"/>
        <v>10.116129032258065</v>
      </c>
    </row>
    <row r="53" spans="2:5">
      <c r="B53">
        <v>0.48</v>
      </c>
      <c r="C53">
        <f t="shared" si="2"/>
        <v>-1.4162580645161293</v>
      </c>
      <c r="D53">
        <v>0.48</v>
      </c>
      <c r="E53">
        <f t="shared" si="3"/>
        <v>10.116129032258065</v>
      </c>
    </row>
    <row r="54" spans="2:5">
      <c r="B54">
        <v>0.49</v>
      </c>
      <c r="C54">
        <f t="shared" si="2"/>
        <v>-1.315096774193548</v>
      </c>
      <c r="D54">
        <v>0.49</v>
      </c>
      <c r="E54">
        <f t="shared" si="3"/>
        <v>10.116129032258065</v>
      </c>
    </row>
    <row r="55" spans="2:5">
      <c r="B55">
        <v>0.5</v>
      </c>
      <c r="C55">
        <f t="shared" si="2"/>
        <v>-1.2139354838709675</v>
      </c>
      <c r="D55">
        <v>0.5</v>
      </c>
      <c r="E55">
        <f t="shared" si="3"/>
        <v>10.116129032258065</v>
      </c>
    </row>
    <row r="56" spans="2:5">
      <c r="B56">
        <v>0.51</v>
      </c>
      <c r="C56">
        <f t="shared" si="2"/>
        <v>-1.112774193548387</v>
      </c>
      <c r="D56">
        <v>0.51</v>
      </c>
      <c r="E56">
        <f t="shared" si="3"/>
        <v>10.116129032258065</v>
      </c>
    </row>
    <row r="57" spans="2:5">
      <c r="B57">
        <v>0.52</v>
      </c>
      <c r="C57">
        <f t="shared" si="2"/>
        <v>-1.0116129032258057</v>
      </c>
      <c r="D57">
        <v>0.52</v>
      </c>
      <c r="E57">
        <f t="shared" si="3"/>
        <v>10.116129032258065</v>
      </c>
    </row>
    <row r="58" spans="2:5">
      <c r="B58">
        <v>0.53</v>
      </c>
      <c r="C58">
        <f t="shared" si="2"/>
        <v>-0.91045161290322518</v>
      </c>
      <c r="D58">
        <v>0.53</v>
      </c>
      <c r="E58">
        <f t="shared" si="3"/>
        <v>10.116129032258065</v>
      </c>
    </row>
    <row r="59" spans="2:5">
      <c r="B59">
        <v>0.54</v>
      </c>
      <c r="C59">
        <f t="shared" si="2"/>
        <v>-0.80929032258064471</v>
      </c>
      <c r="D59">
        <v>0.54</v>
      </c>
      <c r="E59">
        <f t="shared" si="3"/>
        <v>10.116129032258065</v>
      </c>
    </row>
    <row r="60" spans="2:5">
      <c r="B60">
        <v>0.55000000000000004</v>
      </c>
      <c r="C60">
        <f t="shared" si="2"/>
        <v>-0.70812903225806334</v>
      </c>
      <c r="D60">
        <v>0.55000000000000004</v>
      </c>
      <c r="E60">
        <f t="shared" si="3"/>
        <v>10.116129032258065</v>
      </c>
    </row>
    <row r="61" spans="2:5">
      <c r="B61">
        <v>0.56000000000000005</v>
      </c>
      <c r="C61">
        <f t="shared" si="2"/>
        <v>-0.60696774193548286</v>
      </c>
      <c r="D61">
        <v>0.56000000000000005</v>
      </c>
      <c r="E61">
        <f t="shared" si="3"/>
        <v>10.116129032258065</v>
      </c>
    </row>
    <row r="62" spans="2:5">
      <c r="B62">
        <v>0.56999999999999995</v>
      </c>
      <c r="C62">
        <f t="shared" si="2"/>
        <v>-0.50580645161290327</v>
      </c>
      <c r="D62">
        <v>0.56999999999999995</v>
      </c>
      <c r="E62">
        <f t="shared" si="3"/>
        <v>10.116129032258065</v>
      </c>
    </row>
    <row r="63" spans="2:5">
      <c r="B63">
        <v>0.57999999999999996</v>
      </c>
      <c r="C63">
        <f t="shared" si="2"/>
        <v>-0.4046451612903228</v>
      </c>
      <c r="D63">
        <v>0.57999999999999996</v>
      </c>
      <c r="E63">
        <f t="shared" si="3"/>
        <v>10.116129032258065</v>
      </c>
    </row>
    <row r="64" spans="2:5">
      <c r="B64">
        <v>0.59</v>
      </c>
      <c r="C64">
        <f t="shared" si="2"/>
        <v>-0.30348387096774232</v>
      </c>
      <c r="D64">
        <v>0.59</v>
      </c>
      <c r="E64">
        <f t="shared" si="3"/>
        <v>10.116129032258065</v>
      </c>
    </row>
    <row r="65" spans="2:5">
      <c r="B65">
        <v>0.6</v>
      </c>
      <c r="C65">
        <f t="shared" si="2"/>
        <v>-0.20232258064516095</v>
      </c>
      <c r="D65">
        <v>0.6</v>
      </c>
      <c r="E65">
        <f t="shared" si="3"/>
        <v>10.116129032258065</v>
      </c>
    </row>
    <row r="66" spans="2:5">
      <c r="B66">
        <v>0.61</v>
      </c>
      <c r="C66">
        <f t="shared" si="2"/>
        <v>-0.10116129032258048</v>
      </c>
      <c r="D66">
        <v>0.61</v>
      </c>
      <c r="E66">
        <f t="shared" si="3"/>
        <v>10.116129032258065</v>
      </c>
    </row>
    <row r="67" spans="2:5">
      <c r="B67">
        <v>0.62</v>
      </c>
      <c r="C67">
        <f t="shared" si="2"/>
        <v>0</v>
      </c>
      <c r="D67">
        <v>0.62</v>
      </c>
      <c r="E67">
        <f t="shared" si="3"/>
        <v>10.116129032258065</v>
      </c>
    </row>
  </sheetData>
  <phoneticPr fontId="1"/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"/>
  <sheetViews>
    <sheetView workbookViewId="0">
      <selection activeCell="K30" sqref="K30"/>
    </sheetView>
  </sheetViews>
  <sheetFormatPr defaultColWidth="8.85546875" defaultRowHeight="15"/>
  <cols>
    <col min="1" max="1" width="26" customWidth="1"/>
    <col min="2" max="2" width="17.85546875" customWidth="1"/>
    <col min="3" max="3" width="16.5703125" customWidth="1"/>
    <col min="4" max="4" width="16.85546875" customWidth="1"/>
  </cols>
  <sheetData>
    <row r="1" spans="1:10">
      <c r="A1" s="81" t="s">
        <v>173</v>
      </c>
    </row>
    <row r="3" spans="1:10">
      <c r="B3" s="88" t="s">
        <v>59</v>
      </c>
      <c r="C3" s="49" t="s">
        <v>60</v>
      </c>
      <c r="D3" s="161" t="s">
        <v>136</v>
      </c>
      <c r="E3" s="162"/>
      <c r="F3" s="162"/>
      <c r="G3" s="162"/>
      <c r="H3" s="162"/>
      <c r="I3" s="162"/>
      <c r="J3" s="162"/>
    </row>
    <row r="4" spans="1:10">
      <c r="B4" s="88"/>
      <c r="C4" s="38" t="s">
        <v>67</v>
      </c>
      <c r="D4" s="162"/>
      <c r="E4" s="162"/>
      <c r="F4" s="162"/>
      <c r="G4" s="162"/>
      <c r="H4" s="162"/>
      <c r="I4" s="162"/>
      <c r="J4" s="162"/>
    </row>
    <row r="6" spans="1:10">
      <c r="A6" s="80" t="s">
        <v>137</v>
      </c>
    </row>
    <row r="12" spans="1:10" ht="19.5">
      <c r="A12" s="111"/>
      <c r="B12" s="111"/>
      <c r="C12" s="111"/>
      <c r="D12" s="111"/>
    </row>
    <row r="13" spans="1:10" ht="20.25" thickBot="1">
      <c r="A13" s="28" t="s">
        <v>34</v>
      </c>
      <c r="B13" s="26" t="s">
        <v>38</v>
      </c>
      <c r="C13" s="26" t="s">
        <v>39</v>
      </c>
      <c r="D13" s="26" t="s">
        <v>40</v>
      </c>
    </row>
    <row r="14" spans="1:10" ht="18" customHeight="1" thickTop="1">
      <c r="A14" s="29" t="s">
        <v>35</v>
      </c>
      <c r="B14" s="27" t="s">
        <v>36</v>
      </c>
      <c r="C14" s="27" t="s">
        <v>36</v>
      </c>
      <c r="D14" s="27" t="s">
        <v>37</v>
      </c>
    </row>
    <row r="15" spans="1:10" ht="19.5">
      <c r="A15" s="24" t="s">
        <v>33</v>
      </c>
      <c r="B15" s="25">
        <v>1.3080000000000001</v>
      </c>
      <c r="C15" s="25">
        <v>1.29</v>
      </c>
      <c r="D15" s="25">
        <v>110.88</v>
      </c>
    </row>
    <row r="16" spans="1:10" ht="19.5">
      <c r="A16" s="79" t="s">
        <v>25</v>
      </c>
      <c r="B16" s="23">
        <v>1.2010000000000001</v>
      </c>
      <c r="C16" s="23">
        <v>1.3320000000000001</v>
      </c>
      <c r="D16" s="23">
        <v>104.35</v>
      </c>
    </row>
  </sheetData>
  <mergeCells count="3">
    <mergeCell ref="A12:D12"/>
    <mergeCell ref="B3:B4"/>
    <mergeCell ref="D3:J4"/>
  </mergeCells>
  <phoneticPr fontId="1"/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E12"/>
  <sheetViews>
    <sheetView workbookViewId="0">
      <selection activeCell="E21" sqref="E21"/>
    </sheetView>
  </sheetViews>
  <sheetFormatPr defaultColWidth="8.85546875" defaultRowHeight="15"/>
  <cols>
    <col min="1" max="1" width="13.5703125" customWidth="1"/>
    <col min="2" max="2" width="22.42578125" customWidth="1"/>
    <col min="3" max="3" width="16.5703125" customWidth="1"/>
  </cols>
  <sheetData>
    <row r="3" spans="1:5" ht="17.25" thickBot="1">
      <c r="A3" s="18" t="s">
        <v>30</v>
      </c>
      <c r="B3" s="18" t="s">
        <v>31</v>
      </c>
      <c r="C3" s="7" t="s">
        <v>32</v>
      </c>
    </row>
    <row r="4" spans="1:5" ht="15.75" thickTop="1">
      <c r="A4" s="16">
        <v>0.2</v>
      </c>
      <c r="B4" s="16">
        <v>0.16200000000000001</v>
      </c>
      <c r="C4" s="13">
        <v>0.161</v>
      </c>
      <c r="D4">
        <f>(B4/C4)*100</f>
        <v>100.62111801242236</v>
      </c>
    </row>
    <row r="5" spans="1:5">
      <c r="A5" s="15">
        <v>0.6</v>
      </c>
      <c r="B5" s="15">
        <v>0.191</v>
      </c>
      <c r="C5" s="14">
        <v>0.18</v>
      </c>
      <c r="D5">
        <f>(B5/C5)*100</f>
        <v>106.11111111111111</v>
      </c>
    </row>
    <row r="8" spans="1:5">
      <c r="A8" t="s">
        <v>49</v>
      </c>
    </row>
    <row r="9" spans="1:5">
      <c r="A9">
        <f>1.43/0.39</f>
        <v>3.6666666666666665</v>
      </c>
      <c r="B9">
        <f>1.43/0.4</f>
        <v>3.5749999999999997</v>
      </c>
      <c r="C9">
        <f>(0.19*19.6)/0.39</f>
        <v>9.5487179487179485</v>
      </c>
      <c r="D9">
        <f>(0.19*19.6)/0.4</f>
        <v>9.31</v>
      </c>
      <c r="E9">
        <f>SUM(A9:D9)</f>
        <v>26.100384615384613</v>
      </c>
    </row>
    <row r="11" spans="1:5">
      <c r="A11">
        <f>0.19*19.6</f>
        <v>3.7240000000000002</v>
      </c>
      <c r="B11">
        <f>B12*19.6</f>
        <v>11.76</v>
      </c>
      <c r="C11">
        <f>0.39*26.1</f>
        <v>10.179</v>
      </c>
      <c r="D11">
        <f>A11+B11-C11</f>
        <v>5.3049999999999997</v>
      </c>
      <c r="E11">
        <f>D11/0.79</f>
        <v>6.7151898734177209</v>
      </c>
    </row>
    <row r="12" spans="1:5">
      <c r="B12">
        <f>0.39+0.21</f>
        <v>0.6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19"/>
  <sheetViews>
    <sheetView topLeftCell="A13" workbookViewId="0">
      <selection activeCell="F16" sqref="F16"/>
    </sheetView>
  </sheetViews>
  <sheetFormatPr defaultColWidth="13" defaultRowHeight="15"/>
  <sheetData>
    <row r="1" spans="1:5">
      <c r="A1" t="s">
        <v>41</v>
      </c>
      <c r="B1" t="s">
        <v>50</v>
      </c>
      <c r="C1" t="s">
        <v>45</v>
      </c>
    </row>
    <row r="2" spans="1:5">
      <c r="B2">
        <v>-6.38</v>
      </c>
      <c r="C2">
        <v>0</v>
      </c>
    </row>
    <row r="3" spans="1:5">
      <c r="B3">
        <v>13.22</v>
      </c>
      <c r="C3">
        <v>-3.7240000000000002</v>
      </c>
    </row>
    <row r="4" spans="1:5">
      <c r="B4">
        <v>-12.88</v>
      </c>
      <c r="C4">
        <v>6.4550000000000001</v>
      </c>
    </row>
    <row r="5" spans="1:5">
      <c r="B5">
        <v>6.72</v>
      </c>
      <c r="C5">
        <v>-5.3049999999999997</v>
      </c>
    </row>
    <row r="7" spans="1:5">
      <c r="B7" t="s">
        <v>44</v>
      </c>
      <c r="C7" t="s">
        <v>48</v>
      </c>
      <c r="D7" t="s">
        <v>44</v>
      </c>
      <c r="E7" t="s">
        <v>48</v>
      </c>
    </row>
    <row r="8" spans="1:5">
      <c r="B8">
        <v>0</v>
      </c>
      <c r="C8">
        <v>0</v>
      </c>
      <c r="D8">
        <v>0</v>
      </c>
      <c r="E8">
        <f>$B$2*D8+$C$2</f>
        <v>0</v>
      </c>
    </row>
    <row r="9" spans="1:5">
      <c r="B9">
        <v>2E-3</v>
      </c>
      <c r="C9">
        <f t="shared" ref="C9:C12" si="0">$B$2</f>
        <v>-6.38</v>
      </c>
      <c r="D9">
        <v>2E-3</v>
      </c>
      <c r="E9">
        <f t="shared" ref="E9:E35" si="1">$B$2*D9+$C$2</f>
        <v>-1.2760000000000001E-2</v>
      </c>
    </row>
    <row r="10" spans="1:5">
      <c r="B10">
        <v>4.0000000000000001E-3</v>
      </c>
      <c r="C10">
        <f t="shared" si="0"/>
        <v>-6.38</v>
      </c>
      <c r="D10">
        <v>4.0000000000000001E-3</v>
      </c>
      <c r="E10">
        <f t="shared" si="1"/>
        <v>-2.5520000000000001E-2</v>
      </c>
    </row>
    <row r="11" spans="1:5">
      <c r="B11">
        <v>6.0000000000000001E-3</v>
      </c>
      <c r="C11">
        <f t="shared" si="0"/>
        <v>-6.38</v>
      </c>
      <c r="D11">
        <v>6.0000000000000001E-3</v>
      </c>
      <c r="E11">
        <f t="shared" si="1"/>
        <v>-3.8280000000000002E-2</v>
      </c>
    </row>
    <row r="12" spans="1:5">
      <c r="B12">
        <v>8.0000000000000002E-3</v>
      </c>
      <c r="C12">
        <f t="shared" si="0"/>
        <v>-6.38</v>
      </c>
      <c r="D12">
        <v>8.0000000000000002E-3</v>
      </c>
      <c r="E12">
        <f t="shared" si="1"/>
        <v>-5.1040000000000002E-2</v>
      </c>
    </row>
    <row r="13" spans="1:5">
      <c r="B13">
        <v>0.01</v>
      </c>
      <c r="C13">
        <f t="shared" ref="C13:C34" si="2">$B$2</f>
        <v>-6.38</v>
      </c>
      <c r="D13">
        <v>0.01</v>
      </c>
      <c r="E13">
        <f t="shared" si="1"/>
        <v>-6.3799999999999996E-2</v>
      </c>
    </row>
    <row r="14" spans="1:5">
      <c r="B14">
        <v>0.02</v>
      </c>
      <c r="C14">
        <f t="shared" si="2"/>
        <v>-6.38</v>
      </c>
      <c r="D14">
        <v>0.02</v>
      </c>
      <c r="E14">
        <f t="shared" si="1"/>
        <v>-0.12759999999999999</v>
      </c>
    </row>
    <row r="15" spans="1:5">
      <c r="B15">
        <v>0.03</v>
      </c>
      <c r="C15">
        <f t="shared" si="2"/>
        <v>-6.38</v>
      </c>
      <c r="D15">
        <v>0.03</v>
      </c>
      <c r="E15">
        <f t="shared" si="1"/>
        <v>-0.19139999999999999</v>
      </c>
    </row>
    <row r="16" spans="1:5">
      <c r="B16">
        <v>0.04</v>
      </c>
      <c r="C16">
        <f t="shared" si="2"/>
        <v>-6.38</v>
      </c>
      <c r="D16">
        <v>0.04</v>
      </c>
      <c r="E16">
        <f t="shared" si="1"/>
        <v>-0.25519999999999998</v>
      </c>
    </row>
    <row r="17" spans="2:5">
      <c r="B17">
        <v>0.05</v>
      </c>
      <c r="C17">
        <f t="shared" si="2"/>
        <v>-6.38</v>
      </c>
      <c r="D17">
        <v>0.05</v>
      </c>
      <c r="E17">
        <f t="shared" si="1"/>
        <v>-0.31900000000000001</v>
      </c>
    </row>
    <row r="18" spans="2:5">
      <c r="B18">
        <v>0.06</v>
      </c>
      <c r="C18">
        <f t="shared" si="2"/>
        <v>-6.38</v>
      </c>
      <c r="D18">
        <v>0.06</v>
      </c>
      <c r="E18">
        <f t="shared" si="1"/>
        <v>-0.38279999999999997</v>
      </c>
    </row>
    <row r="19" spans="2:5">
      <c r="B19">
        <v>7.0000000000000007E-2</v>
      </c>
      <c r="C19">
        <f t="shared" si="2"/>
        <v>-6.38</v>
      </c>
      <c r="D19">
        <v>7.0000000000000007E-2</v>
      </c>
      <c r="E19">
        <f t="shared" si="1"/>
        <v>-0.44660000000000005</v>
      </c>
    </row>
    <row r="20" spans="2:5">
      <c r="B20">
        <v>0.08</v>
      </c>
      <c r="C20">
        <f t="shared" si="2"/>
        <v>-6.38</v>
      </c>
      <c r="D20">
        <v>0.08</v>
      </c>
      <c r="E20">
        <f t="shared" si="1"/>
        <v>-0.51039999999999996</v>
      </c>
    </row>
    <row r="21" spans="2:5">
      <c r="B21">
        <v>0.09</v>
      </c>
      <c r="C21">
        <f t="shared" si="2"/>
        <v>-6.38</v>
      </c>
      <c r="D21">
        <v>0.09</v>
      </c>
      <c r="E21">
        <f t="shared" si="1"/>
        <v>-0.57419999999999993</v>
      </c>
    </row>
    <row r="22" spans="2:5">
      <c r="B22">
        <v>0.1</v>
      </c>
      <c r="C22">
        <f t="shared" si="2"/>
        <v>-6.38</v>
      </c>
      <c r="D22">
        <v>0.1</v>
      </c>
      <c r="E22">
        <f t="shared" si="1"/>
        <v>-0.63800000000000001</v>
      </c>
    </row>
    <row r="23" spans="2:5">
      <c r="B23">
        <v>0.11</v>
      </c>
      <c r="C23">
        <f t="shared" si="2"/>
        <v>-6.38</v>
      </c>
      <c r="D23">
        <v>0.11</v>
      </c>
      <c r="E23">
        <f t="shared" si="1"/>
        <v>-0.70179999999999998</v>
      </c>
    </row>
    <row r="24" spans="2:5">
      <c r="B24">
        <v>0.12</v>
      </c>
      <c r="C24">
        <f t="shared" si="2"/>
        <v>-6.38</v>
      </c>
      <c r="D24">
        <v>0.12</v>
      </c>
      <c r="E24">
        <f t="shared" si="1"/>
        <v>-0.76559999999999995</v>
      </c>
    </row>
    <row r="25" spans="2:5">
      <c r="B25">
        <v>0.13</v>
      </c>
      <c r="C25">
        <f t="shared" si="2"/>
        <v>-6.38</v>
      </c>
      <c r="D25">
        <v>0.13</v>
      </c>
      <c r="E25">
        <f t="shared" si="1"/>
        <v>-0.82940000000000003</v>
      </c>
    </row>
    <row r="26" spans="2:5">
      <c r="B26">
        <v>0.14000000000000001</v>
      </c>
      <c r="C26">
        <f t="shared" si="2"/>
        <v>-6.38</v>
      </c>
      <c r="D26">
        <v>0.14000000000000001</v>
      </c>
      <c r="E26">
        <f t="shared" si="1"/>
        <v>-0.8932000000000001</v>
      </c>
    </row>
    <row r="27" spans="2:5">
      <c r="B27">
        <v>0.15</v>
      </c>
      <c r="C27">
        <f t="shared" si="2"/>
        <v>-6.38</v>
      </c>
      <c r="D27">
        <v>0.15</v>
      </c>
      <c r="E27">
        <f t="shared" si="1"/>
        <v>-0.95699999999999996</v>
      </c>
    </row>
    <row r="28" spans="2:5">
      <c r="B28">
        <v>0.16</v>
      </c>
      <c r="C28">
        <f t="shared" si="2"/>
        <v>-6.38</v>
      </c>
      <c r="D28">
        <v>0.16</v>
      </c>
      <c r="E28">
        <f t="shared" si="1"/>
        <v>-1.0207999999999999</v>
      </c>
    </row>
    <row r="29" spans="2:5">
      <c r="B29">
        <v>0.17</v>
      </c>
      <c r="C29">
        <f t="shared" si="2"/>
        <v>-6.38</v>
      </c>
      <c r="D29">
        <v>0.17</v>
      </c>
      <c r="E29">
        <f t="shared" si="1"/>
        <v>-1.0846</v>
      </c>
    </row>
    <row r="30" spans="2:5">
      <c r="B30">
        <v>0.18</v>
      </c>
      <c r="C30">
        <f t="shared" si="2"/>
        <v>-6.38</v>
      </c>
      <c r="D30">
        <v>0.18</v>
      </c>
      <c r="E30">
        <f t="shared" si="1"/>
        <v>-1.1483999999999999</v>
      </c>
    </row>
    <row r="31" spans="2:5">
      <c r="B31">
        <v>0.182</v>
      </c>
      <c r="C31">
        <f t="shared" si="2"/>
        <v>-6.38</v>
      </c>
      <c r="D31">
        <v>0.182</v>
      </c>
      <c r="E31">
        <f t="shared" si="1"/>
        <v>-1.16116</v>
      </c>
    </row>
    <row r="32" spans="2:5">
      <c r="B32">
        <v>0.184</v>
      </c>
      <c r="C32">
        <f t="shared" si="2"/>
        <v>-6.38</v>
      </c>
      <c r="D32">
        <v>0.184</v>
      </c>
      <c r="E32">
        <f t="shared" si="1"/>
        <v>-1.1739199999999999</v>
      </c>
    </row>
    <row r="33" spans="1:5">
      <c r="B33">
        <v>0.186</v>
      </c>
      <c r="C33">
        <f t="shared" si="2"/>
        <v>-6.38</v>
      </c>
      <c r="D33">
        <v>0.186</v>
      </c>
      <c r="E33">
        <f t="shared" si="1"/>
        <v>-1.18668</v>
      </c>
    </row>
    <row r="34" spans="1:5">
      <c r="A34" t="s">
        <v>51</v>
      </c>
      <c r="B34">
        <v>0.188</v>
      </c>
      <c r="C34">
        <f t="shared" si="2"/>
        <v>-6.38</v>
      </c>
      <c r="D34">
        <v>0.188</v>
      </c>
      <c r="E34">
        <f t="shared" si="1"/>
        <v>-1.1994400000000001</v>
      </c>
    </row>
    <row r="35" spans="1:5">
      <c r="B35">
        <v>0.19</v>
      </c>
      <c r="C35">
        <v>0</v>
      </c>
      <c r="D35">
        <v>0.19</v>
      </c>
      <c r="E35">
        <f t="shared" si="1"/>
        <v>-1.2121999999999999</v>
      </c>
    </row>
    <row r="36" spans="1:5">
      <c r="B36">
        <v>0.192</v>
      </c>
      <c r="C36">
        <f t="shared" ref="C36:C39" si="3">$B$3</f>
        <v>13.22</v>
      </c>
      <c r="D36">
        <v>0.192</v>
      </c>
      <c r="E36">
        <f>$B$3*D36+$C$3</f>
        <v>-1.1857600000000001</v>
      </c>
    </row>
    <row r="37" spans="1:5">
      <c r="B37">
        <v>0.19400000000000001</v>
      </c>
      <c r="C37">
        <f t="shared" si="3"/>
        <v>13.22</v>
      </c>
      <c r="D37">
        <v>0.19400000000000001</v>
      </c>
      <c r="E37">
        <f t="shared" ref="E37:E63" si="4">$B$3*D37+$C$3</f>
        <v>-1.1593200000000001</v>
      </c>
    </row>
    <row r="38" spans="1:5">
      <c r="B38">
        <v>0.19600000000000001</v>
      </c>
      <c r="C38">
        <f t="shared" si="3"/>
        <v>13.22</v>
      </c>
      <c r="D38">
        <v>0.19600000000000001</v>
      </c>
      <c r="E38">
        <f t="shared" si="4"/>
        <v>-1.1328800000000001</v>
      </c>
    </row>
    <row r="39" spans="1:5">
      <c r="B39">
        <v>0.19800000000000001</v>
      </c>
      <c r="C39">
        <f t="shared" si="3"/>
        <v>13.22</v>
      </c>
      <c r="D39">
        <v>0.19800000000000001</v>
      </c>
      <c r="E39">
        <f t="shared" si="4"/>
        <v>-1.1064400000000001</v>
      </c>
    </row>
    <row r="40" spans="1:5">
      <c r="B40">
        <v>0.2</v>
      </c>
      <c r="C40">
        <f>$B$3</f>
        <v>13.22</v>
      </c>
      <c r="D40">
        <v>0.2</v>
      </c>
      <c r="E40">
        <f t="shared" si="4"/>
        <v>-1.08</v>
      </c>
    </row>
    <row r="41" spans="1:5">
      <c r="B41">
        <v>0.21</v>
      </c>
      <c r="C41">
        <f t="shared" ref="C41:C62" si="5">$B$3</f>
        <v>13.22</v>
      </c>
      <c r="D41">
        <v>0.21</v>
      </c>
      <c r="E41">
        <f t="shared" si="4"/>
        <v>-0.94779999999999998</v>
      </c>
    </row>
    <row r="42" spans="1:5">
      <c r="B42">
        <v>0.22</v>
      </c>
      <c r="C42">
        <f t="shared" si="5"/>
        <v>13.22</v>
      </c>
      <c r="D42">
        <v>0.22</v>
      </c>
      <c r="E42">
        <f t="shared" si="4"/>
        <v>-0.81559999999999988</v>
      </c>
    </row>
    <row r="43" spans="1:5">
      <c r="B43">
        <v>0.23</v>
      </c>
      <c r="C43">
        <f t="shared" si="5"/>
        <v>13.22</v>
      </c>
      <c r="D43">
        <v>0.23</v>
      </c>
      <c r="E43">
        <f t="shared" si="4"/>
        <v>-0.68339999999999979</v>
      </c>
    </row>
    <row r="44" spans="1:5">
      <c r="B44">
        <v>0.24</v>
      </c>
      <c r="C44">
        <f t="shared" si="5"/>
        <v>13.22</v>
      </c>
      <c r="D44">
        <v>0.24</v>
      </c>
      <c r="E44">
        <f t="shared" si="4"/>
        <v>-0.55120000000000013</v>
      </c>
    </row>
    <row r="45" spans="1:5">
      <c r="B45">
        <v>0.25</v>
      </c>
      <c r="C45">
        <f t="shared" si="5"/>
        <v>13.22</v>
      </c>
      <c r="D45">
        <v>0.25</v>
      </c>
      <c r="E45">
        <f t="shared" si="4"/>
        <v>-0.41900000000000004</v>
      </c>
    </row>
    <row r="46" spans="1:5">
      <c r="B46">
        <v>0.26</v>
      </c>
      <c r="C46">
        <f t="shared" si="5"/>
        <v>13.22</v>
      </c>
      <c r="D46">
        <v>0.26</v>
      </c>
      <c r="E46">
        <f t="shared" si="4"/>
        <v>-0.28679999999999994</v>
      </c>
    </row>
    <row r="47" spans="1:5">
      <c r="B47">
        <v>0.27</v>
      </c>
      <c r="C47">
        <f t="shared" si="5"/>
        <v>13.22</v>
      </c>
      <c r="D47">
        <v>0.27</v>
      </c>
      <c r="E47">
        <f t="shared" si="4"/>
        <v>-0.15459999999999985</v>
      </c>
    </row>
    <row r="48" spans="1:5">
      <c r="B48">
        <v>0.28000000000000003</v>
      </c>
      <c r="C48">
        <f t="shared" si="5"/>
        <v>13.22</v>
      </c>
      <c r="D48">
        <v>0.28000000000000003</v>
      </c>
      <c r="E48">
        <f t="shared" si="4"/>
        <v>-2.2399999999999753E-2</v>
      </c>
    </row>
    <row r="49" spans="2:5">
      <c r="B49">
        <v>0.28999999999999998</v>
      </c>
      <c r="C49">
        <f t="shared" si="5"/>
        <v>13.22</v>
      </c>
      <c r="D49">
        <v>0.28999999999999998</v>
      </c>
      <c r="E49">
        <f t="shared" si="4"/>
        <v>0.1097999999999999</v>
      </c>
    </row>
    <row r="50" spans="2:5">
      <c r="B50">
        <v>0.3</v>
      </c>
      <c r="C50">
        <f t="shared" si="5"/>
        <v>13.22</v>
      </c>
      <c r="D50">
        <v>0.3</v>
      </c>
      <c r="E50">
        <f t="shared" si="4"/>
        <v>0.24199999999999999</v>
      </c>
    </row>
    <row r="51" spans="2:5">
      <c r="B51">
        <v>0.31</v>
      </c>
      <c r="C51">
        <f t="shared" si="5"/>
        <v>13.22</v>
      </c>
      <c r="D51">
        <v>0.31</v>
      </c>
      <c r="E51">
        <f t="shared" si="4"/>
        <v>0.37420000000000009</v>
      </c>
    </row>
    <row r="52" spans="2:5">
      <c r="B52">
        <v>0.32</v>
      </c>
      <c r="C52">
        <f t="shared" si="5"/>
        <v>13.22</v>
      </c>
      <c r="D52">
        <v>0.32</v>
      </c>
      <c r="E52">
        <f t="shared" si="4"/>
        <v>0.50640000000000018</v>
      </c>
    </row>
    <row r="53" spans="2:5">
      <c r="B53">
        <v>0.33</v>
      </c>
      <c r="C53">
        <f t="shared" si="5"/>
        <v>13.22</v>
      </c>
      <c r="D53">
        <v>0.33</v>
      </c>
      <c r="E53">
        <f t="shared" si="4"/>
        <v>0.63860000000000028</v>
      </c>
    </row>
    <row r="54" spans="2:5">
      <c r="B54">
        <v>0.34</v>
      </c>
      <c r="C54">
        <f t="shared" si="5"/>
        <v>13.22</v>
      </c>
      <c r="D54">
        <v>0.34</v>
      </c>
      <c r="E54">
        <f t="shared" si="4"/>
        <v>0.77080000000000037</v>
      </c>
    </row>
    <row r="55" spans="2:5">
      <c r="B55">
        <v>0.35</v>
      </c>
      <c r="C55">
        <f t="shared" si="5"/>
        <v>13.22</v>
      </c>
      <c r="D55">
        <v>0.35</v>
      </c>
      <c r="E55">
        <f t="shared" si="4"/>
        <v>0.90299999999999958</v>
      </c>
    </row>
    <row r="56" spans="2:5">
      <c r="B56">
        <v>0.36</v>
      </c>
      <c r="C56">
        <f t="shared" si="5"/>
        <v>13.22</v>
      </c>
      <c r="D56">
        <v>0.36</v>
      </c>
      <c r="E56">
        <f t="shared" si="4"/>
        <v>1.0351999999999997</v>
      </c>
    </row>
    <row r="57" spans="2:5">
      <c r="B57">
        <v>0.37</v>
      </c>
      <c r="C57">
        <f t="shared" si="5"/>
        <v>13.22</v>
      </c>
      <c r="D57">
        <v>0.37</v>
      </c>
      <c r="E57">
        <f t="shared" si="4"/>
        <v>1.1673999999999998</v>
      </c>
    </row>
    <row r="58" spans="2:5">
      <c r="B58">
        <v>0.38</v>
      </c>
      <c r="C58">
        <f t="shared" si="5"/>
        <v>13.22</v>
      </c>
      <c r="D58">
        <v>0.38</v>
      </c>
      <c r="E58">
        <f t="shared" si="4"/>
        <v>1.2995999999999999</v>
      </c>
    </row>
    <row r="59" spans="2:5">
      <c r="B59">
        <v>0.38200000000000001</v>
      </c>
      <c r="C59">
        <f t="shared" si="5"/>
        <v>13.22</v>
      </c>
      <c r="D59">
        <v>0.38200000000000001</v>
      </c>
      <c r="E59">
        <f t="shared" si="4"/>
        <v>1.3260399999999999</v>
      </c>
    </row>
    <row r="60" spans="2:5">
      <c r="B60">
        <v>0.38400000000000001</v>
      </c>
      <c r="C60">
        <f t="shared" si="5"/>
        <v>13.22</v>
      </c>
      <c r="D60">
        <v>0.38400000000000001</v>
      </c>
      <c r="E60">
        <f t="shared" si="4"/>
        <v>1.3524799999999999</v>
      </c>
    </row>
    <row r="61" spans="2:5">
      <c r="B61">
        <v>0.38600000000000001</v>
      </c>
      <c r="C61">
        <f t="shared" si="5"/>
        <v>13.22</v>
      </c>
      <c r="D61">
        <v>0.38600000000000001</v>
      </c>
      <c r="E61">
        <f t="shared" si="4"/>
        <v>1.3789199999999999</v>
      </c>
    </row>
    <row r="62" spans="2:5">
      <c r="B62">
        <v>0.38800000000000001</v>
      </c>
      <c r="C62">
        <f t="shared" si="5"/>
        <v>13.22</v>
      </c>
      <c r="D62">
        <v>0.38800000000000001</v>
      </c>
      <c r="E62">
        <f t="shared" si="4"/>
        <v>1.4053599999999999</v>
      </c>
    </row>
    <row r="63" spans="2:5">
      <c r="B63">
        <v>0.39</v>
      </c>
      <c r="C63">
        <v>0</v>
      </c>
      <c r="D63">
        <v>0.39</v>
      </c>
      <c r="E63">
        <f t="shared" si="4"/>
        <v>1.4318</v>
      </c>
    </row>
    <row r="64" spans="2:5">
      <c r="B64">
        <v>0.39200000000000002</v>
      </c>
      <c r="C64">
        <f t="shared" ref="C64:C67" si="6">$B$4</f>
        <v>-12.88</v>
      </c>
      <c r="D64">
        <v>0.39200000000000002</v>
      </c>
      <c r="E64">
        <f>$B$4*D64+$C$4</f>
        <v>1.40604</v>
      </c>
    </row>
    <row r="65" spans="2:5">
      <c r="B65">
        <v>0.39400000000000002</v>
      </c>
      <c r="C65">
        <f t="shared" si="6"/>
        <v>-12.88</v>
      </c>
      <c r="D65">
        <v>0.39400000000000002</v>
      </c>
      <c r="E65">
        <f t="shared" ref="E65:E92" si="7">$B$4*D65+$C$4</f>
        <v>1.38028</v>
      </c>
    </row>
    <row r="66" spans="2:5">
      <c r="B66">
        <v>0.39600000000000002</v>
      </c>
      <c r="C66">
        <f t="shared" si="6"/>
        <v>-12.88</v>
      </c>
      <c r="D66">
        <v>0.39600000000000002</v>
      </c>
      <c r="E66">
        <f t="shared" si="7"/>
        <v>1.3545199999999999</v>
      </c>
    </row>
    <row r="67" spans="2:5">
      <c r="B67">
        <v>0.39800000000000002</v>
      </c>
      <c r="C67">
        <f t="shared" si="6"/>
        <v>-12.88</v>
      </c>
      <c r="D67">
        <v>0.39800000000000002</v>
      </c>
      <c r="E67">
        <f t="shared" si="7"/>
        <v>1.3287599999999991</v>
      </c>
    </row>
    <row r="68" spans="2:5">
      <c r="B68">
        <v>0.4</v>
      </c>
      <c r="C68">
        <f>$B$4</f>
        <v>-12.88</v>
      </c>
      <c r="D68">
        <v>0.4</v>
      </c>
      <c r="E68">
        <f t="shared" si="7"/>
        <v>1.302999999999999</v>
      </c>
    </row>
    <row r="69" spans="2:5">
      <c r="B69">
        <v>0.41</v>
      </c>
      <c r="C69">
        <f t="shared" ref="C69:C91" si="8">$B$4</f>
        <v>-12.88</v>
      </c>
      <c r="D69">
        <v>0.41</v>
      </c>
      <c r="E69">
        <f t="shared" si="7"/>
        <v>1.1741999999999999</v>
      </c>
    </row>
    <row r="70" spans="2:5">
      <c r="B70">
        <v>0.42</v>
      </c>
      <c r="C70">
        <f t="shared" si="8"/>
        <v>-12.88</v>
      </c>
      <c r="D70">
        <v>0.42</v>
      </c>
      <c r="E70">
        <f t="shared" si="7"/>
        <v>1.0453999999999999</v>
      </c>
    </row>
    <row r="71" spans="2:5">
      <c r="B71">
        <v>0.43</v>
      </c>
      <c r="C71">
        <f t="shared" si="8"/>
        <v>-12.88</v>
      </c>
      <c r="D71">
        <v>0.43</v>
      </c>
      <c r="E71">
        <f t="shared" si="7"/>
        <v>0.91659999999999986</v>
      </c>
    </row>
    <row r="72" spans="2:5">
      <c r="B72">
        <v>0.44</v>
      </c>
      <c r="C72">
        <f t="shared" si="8"/>
        <v>-12.88</v>
      </c>
      <c r="D72">
        <v>0.44</v>
      </c>
      <c r="E72">
        <f t="shared" si="7"/>
        <v>0.78779999999999983</v>
      </c>
    </row>
    <row r="73" spans="2:5">
      <c r="B73">
        <v>0.45</v>
      </c>
      <c r="C73">
        <f t="shared" si="8"/>
        <v>-12.88</v>
      </c>
      <c r="D73">
        <v>0.45</v>
      </c>
      <c r="E73">
        <f t="shared" si="7"/>
        <v>0.65899999999999981</v>
      </c>
    </row>
    <row r="74" spans="2:5">
      <c r="B74">
        <v>0.46</v>
      </c>
      <c r="C74">
        <f t="shared" si="8"/>
        <v>-12.88</v>
      </c>
      <c r="D74">
        <v>0.46</v>
      </c>
      <c r="E74">
        <f t="shared" si="7"/>
        <v>0.53019999999999978</v>
      </c>
    </row>
    <row r="75" spans="2:5">
      <c r="B75">
        <v>0.47</v>
      </c>
      <c r="C75">
        <f t="shared" si="8"/>
        <v>-12.88</v>
      </c>
      <c r="D75">
        <v>0.47</v>
      </c>
      <c r="E75">
        <f t="shared" si="7"/>
        <v>0.40139999999999976</v>
      </c>
    </row>
    <row r="76" spans="2:5">
      <c r="B76">
        <v>0.48</v>
      </c>
      <c r="C76">
        <f t="shared" si="8"/>
        <v>-12.88</v>
      </c>
      <c r="D76">
        <v>0.48</v>
      </c>
      <c r="E76">
        <f t="shared" si="7"/>
        <v>0.27259999999999973</v>
      </c>
    </row>
    <row r="77" spans="2:5">
      <c r="B77">
        <v>0.49</v>
      </c>
      <c r="C77">
        <f t="shared" si="8"/>
        <v>-12.88</v>
      </c>
      <c r="D77">
        <v>0.49</v>
      </c>
      <c r="E77">
        <f t="shared" si="7"/>
        <v>0.14379999999999971</v>
      </c>
    </row>
    <row r="78" spans="2:5">
      <c r="B78">
        <v>0.5</v>
      </c>
      <c r="C78">
        <f t="shared" si="8"/>
        <v>-12.88</v>
      </c>
      <c r="D78">
        <v>0.5</v>
      </c>
      <c r="E78">
        <f t="shared" si="7"/>
        <v>1.499999999999968E-2</v>
      </c>
    </row>
    <row r="79" spans="2:5">
      <c r="B79">
        <v>0.51</v>
      </c>
      <c r="C79">
        <f t="shared" si="8"/>
        <v>-12.88</v>
      </c>
      <c r="D79">
        <v>0.51</v>
      </c>
      <c r="E79">
        <f t="shared" si="7"/>
        <v>-0.11380000000000035</v>
      </c>
    </row>
    <row r="80" spans="2:5">
      <c r="B80">
        <v>0.52</v>
      </c>
      <c r="C80">
        <f t="shared" si="8"/>
        <v>-12.88</v>
      </c>
      <c r="D80">
        <v>0.52</v>
      </c>
      <c r="E80">
        <f t="shared" si="7"/>
        <v>-0.24260000000000037</v>
      </c>
    </row>
    <row r="81" spans="2:5">
      <c r="B81">
        <v>0.53</v>
      </c>
      <c r="C81">
        <f t="shared" si="8"/>
        <v>-12.88</v>
      </c>
      <c r="D81">
        <v>0.53</v>
      </c>
      <c r="E81">
        <f t="shared" si="7"/>
        <v>-0.3714000000000004</v>
      </c>
    </row>
    <row r="82" spans="2:5">
      <c r="B82">
        <v>0.54</v>
      </c>
      <c r="C82">
        <f t="shared" si="8"/>
        <v>-12.88</v>
      </c>
      <c r="D82">
        <v>0.54</v>
      </c>
      <c r="E82">
        <f t="shared" si="7"/>
        <v>-0.50020000000000042</v>
      </c>
    </row>
    <row r="83" spans="2:5">
      <c r="B83">
        <v>0.55000000000000004</v>
      </c>
      <c r="C83">
        <f t="shared" si="8"/>
        <v>-12.88</v>
      </c>
      <c r="D83">
        <v>0.55000000000000004</v>
      </c>
      <c r="E83">
        <f t="shared" si="7"/>
        <v>-0.62900000000000134</v>
      </c>
    </row>
    <row r="84" spans="2:5">
      <c r="B84">
        <v>0.56000000000000005</v>
      </c>
      <c r="C84">
        <f t="shared" si="8"/>
        <v>-12.88</v>
      </c>
      <c r="D84">
        <v>0.56000000000000005</v>
      </c>
      <c r="E84">
        <f t="shared" si="7"/>
        <v>-0.75780000000000136</v>
      </c>
    </row>
    <row r="85" spans="2:5">
      <c r="B85">
        <v>0.56999999999999995</v>
      </c>
      <c r="C85">
        <f t="shared" si="8"/>
        <v>-12.88</v>
      </c>
      <c r="D85">
        <v>0.56999999999999995</v>
      </c>
      <c r="E85">
        <f t="shared" si="7"/>
        <v>-0.88659999999999961</v>
      </c>
    </row>
    <row r="86" spans="2:5">
      <c r="B86">
        <v>0.57999999999999996</v>
      </c>
      <c r="C86">
        <f t="shared" si="8"/>
        <v>-12.88</v>
      </c>
      <c r="D86">
        <v>0.57999999999999996</v>
      </c>
      <c r="E86">
        <f t="shared" si="7"/>
        <v>-1.0153999999999996</v>
      </c>
    </row>
    <row r="87" spans="2:5">
      <c r="B87">
        <v>0.59</v>
      </c>
      <c r="C87">
        <f t="shared" si="8"/>
        <v>-12.88</v>
      </c>
      <c r="D87">
        <v>0.59</v>
      </c>
      <c r="E87">
        <f t="shared" si="7"/>
        <v>-1.1441999999999997</v>
      </c>
    </row>
    <row r="88" spans="2:5">
      <c r="B88">
        <v>0.59199999999999997</v>
      </c>
      <c r="C88">
        <f t="shared" si="8"/>
        <v>-12.88</v>
      </c>
      <c r="D88">
        <v>0.59199999999999997</v>
      </c>
      <c r="E88">
        <f t="shared" si="7"/>
        <v>-1.1699599999999997</v>
      </c>
    </row>
    <row r="89" spans="2:5">
      <c r="B89">
        <v>0.59399999999999997</v>
      </c>
      <c r="C89">
        <f t="shared" si="8"/>
        <v>-12.88</v>
      </c>
      <c r="D89">
        <v>0.59399999999999997</v>
      </c>
      <c r="E89">
        <f t="shared" si="7"/>
        <v>-1.1957199999999997</v>
      </c>
    </row>
    <row r="90" spans="2:5">
      <c r="B90">
        <v>0.59599999999999997</v>
      </c>
      <c r="C90">
        <f t="shared" si="8"/>
        <v>-12.88</v>
      </c>
      <c r="D90">
        <v>0.59599999999999997</v>
      </c>
      <c r="E90">
        <f t="shared" si="7"/>
        <v>-1.2214799999999997</v>
      </c>
    </row>
    <row r="91" spans="2:5">
      <c r="B91">
        <v>0.59799999999999998</v>
      </c>
      <c r="C91">
        <f t="shared" si="8"/>
        <v>-12.88</v>
      </c>
      <c r="D91">
        <v>0.59799999999999998</v>
      </c>
      <c r="E91">
        <f t="shared" si="7"/>
        <v>-1.2472399999999997</v>
      </c>
    </row>
    <row r="92" spans="2:5">
      <c r="B92">
        <v>0.6</v>
      </c>
      <c r="C92">
        <v>0</v>
      </c>
      <c r="D92">
        <v>0.6</v>
      </c>
      <c r="E92">
        <f t="shared" si="7"/>
        <v>-1.2729999999999997</v>
      </c>
    </row>
    <row r="93" spans="2:5">
      <c r="B93">
        <v>0.60199999999999998</v>
      </c>
      <c r="C93">
        <f t="shared" ref="C93:C96" si="9">$B$5</f>
        <v>6.72</v>
      </c>
      <c r="D93">
        <v>0.60199999999999998</v>
      </c>
      <c r="E93">
        <f>$B$5*D93+$C$5</f>
        <v>-1.2595599999999996</v>
      </c>
    </row>
    <row r="94" spans="2:5">
      <c r="B94">
        <v>0.60399999999999998</v>
      </c>
      <c r="C94">
        <f t="shared" si="9"/>
        <v>6.72</v>
      </c>
      <c r="D94">
        <v>0.60399999999999998</v>
      </c>
      <c r="E94">
        <f t="shared" ref="E94:E119" si="10">$B$5*D94+$C$5</f>
        <v>-1.2461200000000003</v>
      </c>
    </row>
    <row r="95" spans="2:5">
      <c r="B95">
        <v>0.60599999999999998</v>
      </c>
      <c r="C95">
        <f t="shared" si="9"/>
        <v>6.72</v>
      </c>
      <c r="D95">
        <v>0.60599999999999998</v>
      </c>
      <c r="E95">
        <f t="shared" si="10"/>
        <v>-1.2326800000000002</v>
      </c>
    </row>
    <row r="96" spans="2:5">
      <c r="B96">
        <v>0.60799999999999998</v>
      </c>
      <c r="C96">
        <f t="shared" si="9"/>
        <v>6.72</v>
      </c>
      <c r="D96">
        <v>0.60799999999999998</v>
      </c>
      <c r="E96">
        <f t="shared" si="10"/>
        <v>-1.2192400000000001</v>
      </c>
    </row>
    <row r="97" spans="2:5">
      <c r="B97">
        <v>0.61</v>
      </c>
      <c r="C97">
        <f>$B$5</f>
        <v>6.72</v>
      </c>
      <c r="D97">
        <v>0.61</v>
      </c>
      <c r="E97">
        <f t="shared" si="10"/>
        <v>-1.2058</v>
      </c>
    </row>
    <row r="98" spans="2:5">
      <c r="B98">
        <v>0.62</v>
      </c>
      <c r="C98">
        <f t="shared" ref="C98:C118" si="11">$B$5</f>
        <v>6.72</v>
      </c>
      <c r="D98">
        <v>0.62</v>
      </c>
      <c r="E98">
        <f t="shared" si="10"/>
        <v>-1.1386000000000003</v>
      </c>
    </row>
    <row r="99" spans="2:5">
      <c r="B99">
        <v>0.63</v>
      </c>
      <c r="C99">
        <f t="shared" si="11"/>
        <v>6.72</v>
      </c>
      <c r="D99">
        <v>0.63</v>
      </c>
      <c r="E99">
        <f t="shared" si="10"/>
        <v>-1.0713999999999997</v>
      </c>
    </row>
    <row r="100" spans="2:5">
      <c r="B100">
        <v>0.64</v>
      </c>
      <c r="C100">
        <f t="shared" si="11"/>
        <v>6.72</v>
      </c>
      <c r="D100">
        <v>0.64</v>
      </c>
      <c r="E100">
        <f t="shared" si="10"/>
        <v>-1.0042</v>
      </c>
    </row>
    <row r="101" spans="2:5">
      <c r="B101">
        <v>0.65</v>
      </c>
      <c r="C101">
        <f t="shared" si="11"/>
        <v>6.72</v>
      </c>
      <c r="D101">
        <v>0.65</v>
      </c>
      <c r="E101">
        <f t="shared" si="10"/>
        <v>-0.93699999999999939</v>
      </c>
    </row>
    <row r="102" spans="2:5">
      <c r="B102">
        <v>0.66</v>
      </c>
      <c r="C102">
        <f t="shared" si="11"/>
        <v>6.72</v>
      </c>
      <c r="D102">
        <v>0.66</v>
      </c>
      <c r="E102">
        <f t="shared" si="10"/>
        <v>-0.86979999999999968</v>
      </c>
    </row>
    <row r="103" spans="2:5">
      <c r="B103">
        <v>0.67</v>
      </c>
      <c r="C103">
        <f t="shared" si="11"/>
        <v>6.72</v>
      </c>
      <c r="D103">
        <v>0.67</v>
      </c>
      <c r="E103">
        <f t="shared" si="10"/>
        <v>-0.80259999999999998</v>
      </c>
    </row>
    <row r="104" spans="2:5">
      <c r="B104">
        <v>0.68</v>
      </c>
      <c r="C104">
        <f t="shared" si="11"/>
        <v>6.72</v>
      </c>
      <c r="D104">
        <v>0.68</v>
      </c>
      <c r="E104">
        <f t="shared" si="10"/>
        <v>-0.73539999999999939</v>
      </c>
    </row>
    <row r="105" spans="2:5">
      <c r="B105">
        <v>0.69</v>
      </c>
      <c r="C105">
        <f t="shared" si="11"/>
        <v>6.72</v>
      </c>
      <c r="D105">
        <v>0.69</v>
      </c>
      <c r="E105">
        <f t="shared" si="10"/>
        <v>-0.66820000000000057</v>
      </c>
    </row>
    <row r="106" spans="2:5">
      <c r="B106">
        <v>0.7</v>
      </c>
      <c r="C106">
        <f t="shared" si="11"/>
        <v>6.72</v>
      </c>
      <c r="D106">
        <v>0.7</v>
      </c>
      <c r="E106">
        <f t="shared" si="10"/>
        <v>-0.60099999999999998</v>
      </c>
    </row>
    <row r="107" spans="2:5">
      <c r="B107">
        <v>0.71</v>
      </c>
      <c r="C107">
        <f t="shared" si="11"/>
        <v>6.72</v>
      </c>
      <c r="D107">
        <v>0.71</v>
      </c>
      <c r="E107">
        <f t="shared" si="10"/>
        <v>-0.53380000000000027</v>
      </c>
    </row>
    <row r="108" spans="2:5">
      <c r="B108">
        <v>0.72</v>
      </c>
      <c r="C108">
        <f t="shared" si="11"/>
        <v>6.72</v>
      </c>
      <c r="D108">
        <v>0.72</v>
      </c>
      <c r="E108">
        <f t="shared" si="10"/>
        <v>-0.46659999999999968</v>
      </c>
    </row>
    <row r="109" spans="2:5">
      <c r="B109">
        <v>0.73</v>
      </c>
      <c r="C109">
        <f t="shared" si="11"/>
        <v>6.72</v>
      </c>
      <c r="D109">
        <v>0.73</v>
      </c>
      <c r="E109">
        <f t="shared" si="10"/>
        <v>-0.39939999999999998</v>
      </c>
    </row>
    <row r="110" spans="2:5">
      <c r="B110">
        <v>0.74</v>
      </c>
      <c r="C110">
        <f t="shared" si="11"/>
        <v>6.72</v>
      </c>
      <c r="D110">
        <v>0.74</v>
      </c>
      <c r="E110">
        <f t="shared" si="10"/>
        <v>-0.33220000000000027</v>
      </c>
    </row>
    <row r="111" spans="2:5">
      <c r="B111">
        <v>0.75</v>
      </c>
      <c r="C111">
        <f t="shared" si="11"/>
        <v>6.72</v>
      </c>
      <c r="D111">
        <v>0.75</v>
      </c>
      <c r="E111">
        <f t="shared" si="10"/>
        <v>-0.26499999999999968</v>
      </c>
    </row>
    <row r="112" spans="2:5">
      <c r="B112">
        <v>0.76</v>
      </c>
      <c r="C112">
        <f t="shared" si="11"/>
        <v>6.72</v>
      </c>
      <c r="D112">
        <v>0.76</v>
      </c>
      <c r="E112">
        <f t="shared" si="10"/>
        <v>-0.19779999999999998</v>
      </c>
    </row>
    <row r="113" spans="2:5">
      <c r="B113">
        <v>0.77</v>
      </c>
      <c r="C113">
        <f t="shared" si="11"/>
        <v>6.72</v>
      </c>
      <c r="D113">
        <v>0.77</v>
      </c>
      <c r="E113">
        <f t="shared" si="10"/>
        <v>-0.13059999999999938</v>
      </c>
    </row>
    <row r="114" spans="2:5">
      <c r="B114">
        <v>0.78</v>
      </c>
      <c r="C114">
        <f t="shared" si="11"/>
        <v>6.72</v>
      </c>
      <c r="D114">
        <v>0.78</v>
      </c>
      <c r="E114">
        <f t="shared" si="10"/>
        <v>-6.3399999999999679E-2</v>
      </c>
    </row>
    <row r="115" spans="2:5">
      <c r="B115">
        <v>0.78200000000000003</v>
      </c>
      <c r="C115">
        <f t="shared" si="11"/>
        <v>6.72</v>
      </c>
      <c r="D115">
        <v>0.78200000000000003</v>
      </c>
      <c r="E115">
        <f t="shared" si="10"/>
        <v>-4.995999999999956E-2</v>
      </c>
    </row>
    <row r="116" spans="2:5">
      <c r="B116">
        <v>0.78400000000000003</v>
      </c>
      <c r="C116">
        <f t="shared" si="11"/>
        <v>6.72</v>
      </c>
      <c r="D116">
        <v>0.78400000000000003</v>
      </c>
      <c r="E116">
        <f t="shared" si="10"/>
        <v>-3.6519999999999442E-2</v>
      </c>
    </row>
    <row r="117" spans="2:5">
      <c r="B117">
        <v>0.78600000000000003</v>
      </c>
      <c r="C117">
        <f t="shared" si="11"/>
        <v>6.72</v>
      </c>
      <c r="D117">
        <v>0.78600000000000003</v>
      </c>
      <c r="E117">
        <f t="shared" si="10"/>
        <v>-2.3079999999999323E-2</v>
      </c>
    </row>
    <row r="118" spans="2:5">
      <c r="B118">
        <v>0.78800000000000003</v>
      </c>
      <c r="C118">
        <f t="shared" si="11"/>
        <v>6.72</v>
      </c>
      <c r="D118">
        <v>0.78800000000000003</v>
      </c>
      <c r="E118">
        <f t="shared" si="10"/>
        <v>-9.6400000000000929E-3</v>
      </c>
    </row>
    <row r="119" spans="2:5">
      <c r="B119">
        <v>0.79</v>
      </c>
      <c r="C119">
        <v>0</v>
      </c>
      <c r="D119">
        <v>0.79</v>
      </c>
      <c r="E119">
        <f t="shared" si="10"/>
        <v>3.8000000000000256E-3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"/>
  <sheetViews>
    <sheetView workbookViewId="0">
      <selection activeCell="G5" sqref="G5"/>
    </sheetView>
  </sheetViews>
  <sheetFormatPr defaultColWidth="8.85546875" defaultRowHeight="15"/>
  <cols>
    <col min="1" max="1" width="12" customWidth="1"/>
    <col min="3" max="3" width="16.42578125" customWidth="1"/>
    <col min="4" max="4" width="14.140625" customWidth="1"/>
  </cols>
  <sheetData>
    <row r="1" spans="1:4">
      <c r="A1" s="112" t="s">
        <v>3</v>
      </c>
      <c r="B1" s="112"/>
      <c r="C1" s="112"/>
    </row>
    <row r="3" spans="1:4" ht="27.75" thickBot="1">
      <c r="A3" s="7" t="s">
        <v>4</v>
      </c>
      <c r="B3" s="7" t="s">
        <v>5</v>
      </c>
      <c r="C3" s="7" t="s">
        <v>6</v>
      </c>
      <c r="D3" s="7" t="s">
        <v>7</v>
      </c>
    </row>
    <row r="4" spans="1:4" ht="15.75" thickTop="1">
      <c r="A4" s="6">
        <v>2</v>
      </c>
      <c r="B4" s="6">
        <v>805</v>
      </c>
      <c r="C4" s="6">
        <v>3.5299999999999998E-2</v>
      </c>
      <c r="D4" s="6">
        <v>2.19</v>
      </c>
    </row>
    <row r="5" spans="1:4">
      <c r="A5" s="4">
        <v>4</v>
      </c>
      <c r="B5" s="4">
        <v>251</v>
      </c>
      <c r="C5" s="4">
        <v>3.4500000000000003E-2</v>
      </c>
      <c r="D5" s="4">
        <v>2.13</v>
      </c>
    </row>
    <row r="6" spans="1:4">
      <c r="A6" s="4">
        <v>6</v>
      </c>
      <c r="B6" s="4">
        <v>48</v>
      </c>
      <c r="C6" s="4">
        <v>3.3500000000000002E-2</v>
      </c>
      <c r="D6" s="5">
        <v>2.2000000000000002</v>
      </c>
    </row>
    <row r="7" spans="1:4">
      <c r="A7" s="4">
        <v>8</v>
      </c>
      <c r="B7" s="4">
        <v>20</v>
      </c>
      <c r="C7" s="4">
        <v>3.4599999999999999E-2</v>
      </c>
      <c r="D7" s="4">
        <v>2.2400000000000002</v>
      </c>
    </row>
    <row r="9" spans="1:4">
      <c r="A9" s="112" t="s">
        <v>10</v>
      </c>
      <c r="B9" s="112"/>
      <c r="C9" s="112"/>
    </row>
    <row r="11" spans="1:4" ht="27.75" thickBot="1">
      <c r="A11" s="7" t="s">
        <v>8</v>
      </c>
      <c r="B11" s="7" t="s">
        <v>12</v>
      </c>
      <c r="C11" s="7" t="s">
        <v>6</v>
      </c>
      <c r="D11" s="7" t="s">
        <v>7</v>
      </c>
    </row>
    <row r="12" spans="1:4" ht="15.75" thickTop="1">
      <c r="A12" s="6">
        <v>6.0000000000000001E-3</v>
      </c>
      <c r="B12" s="9">
        <v>0.1</v>
      </c>
      <c r="C12" s="6">
        <v>2.9100000000000001E-2</v>
      </c>
      <c r="D12" s="6">
        <v>2.62</v>
      </c>
    </row>
    <row r="13" spans="1:4">
      <c r="A13" s="8">
        <v>0.01</v>
      </c>
      <c r="B13" s="8">
        <v>0.16700000000000001</v>
      </c>
      <c r="C13" s="4">
        <v>2.9700000000000001E-2</v>
      </c>
      <c r="D13" s="4">
        <v>2.48</v>
      </c>
    </row>
    <row r="14" spans="1:4">
      <c r="A14" s="4">
        <v>1.6E-2</v>
      </c>
      <c r="B14" s="5">
        <v>0.27</v>
      </c>
      <c r="C14" s="4">
        <v>3.1600000000000003E-2</v>
      </c>
      <c r="D14" s="5">
        <v>2.3199999999999998</v>
      </c>
    </row>
    <row r="15" spans="1:4">
      <c r="A15" s="8">
        <v>2.1999999999999999E-2</v>
      </c>
      <c r="B15" s="5">
        <v>0.37</v>
      </c>
      <c r="C15" s="4">
        <v>3.4500000000000003E-2</v>
      </c>
      <c r="D15" s="4">
        <v>2.19</v>
      </c>
    </row>
    <row r="16" spans="1:4">
      <c r="A16" s="8">
        <v>0.03</v>
      </c>
      <c r="B16" s="5">
        <v>0.5</v>
      </c>
      <c r="C16" s="4">
        <v>4.24E-2</v>
      </c>
      <c r="D16" s="4">
        <v>2.12</v>
      </c>
    </row>
    <row r="18" spans="1:3" ht="26.25" thickBot="1">
      <c r="A18" s="7" t="s">
        <v>7</v>
      </c>
      <c r="B18" s="7" t="s">
        <v>9</v>
      </c>
    </row>
    <row r="19" spans="1:3" ht="15.75" thickTop="1">
      <c r="A19" s="6">
        <v>2.62</v>
      </c>
      <c r="B19" s="9">
        <v>0.1</v>
      </c>
    </row>
    <row r="20" spans="1:3">
      <c r="A20" s="4">
        <v>2.48</v>
      </c>
      <c r="B20" s="8">
        <v>0.16700000000000001</v>
      </c>
    </row>
    <row r="21" spans="1:3">
      <c r="A21" s="5">
        <v>2.3199999999999998</v>
      </c>
      <c r="B21" s="5">
        <v>0.27</v>
      </c>
    </row>
    <row r="22" spans="1:3">
      <c r="A22" s="4">
        <v>2.19</v>
      </c>
      <c r="B22" s="5">
        <v>0.37</v>
      </c>
    </row>
    <row r="23" spans="1:3">
      <c r="A23" s="4">
        <v>2.12</v>
      </c>
      <c r="B23" s="5">
        <v>0.5</v>
      </c>
    </row>
    <row r="25" spans="1:3">
      <c r="A25" s="112" t="s">
        <v>11</v>
      </c>
      <c r="B25" s="112"/>
      <c r="C25" s="112"/>
    </row>
    <row r="27" spans="1:3" ht="26.25" thickBot="1">
      <c r="A27" s="7" t="s">
        <v>7</v>
      </c>
      <c r="B27" s="7" t="s">
        <v>5</v>
      </c>
      <c r="C27" s="7" t="s">
        <v>7</v>
      </c>
    </row>
    <row r="28" spans="1:3" ht="15.75" thickTop="1">
      <c r="A28" s="6">
        <v>2.19</v>
      </c>
      <c r="B28" s="6">
        <v>805</v>
      </c>
      <c r="C28" s="6">
        <v>2.19</v>
      </c>
    </row>
    <row r="29" spans="1:3">
      <c r="A29" s="4">
        <v>2.13</v>
      </c>
      <c r="B29" s="4">
        <v>251</v>
      </c>
      <c r="C29" s="4">
        <v>2.13</v>
      </c>
    </row>
    <row r="30" spans="1:3">
      <c r="A30" s="5">
        <v>2.2000000000000002</v>
      </c>
      <c r="B30" s="4">
        <v>48</v>
      </c>
      <c r="C30" s="5">
        <v>2.2000000000000002</v>
      </c>
    </row>
    <row r="31" spans="1:3">
      <c r="A31" s="4">
        <v>2.2400000000000002</v>
      </c>
      <c r="B31" s="4">
        <v>20</v>
      </c>
      <c r="C31" s="4">
        <v>2.2400000000000002</v>
      </c>
    </row>
  </sheetData>
  <mergeCells count="3">
    <mergeCell ref="A9:C9"/>
    <mergeCell ref="A1:C1"/>
    <mergeCell ref="A25:C2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B14"/>
  <sheetViews>
    <sheetView workbookViewId="0">
      <selection activeCell="K23" sqref="K23"/>
    </sheetView>
  </sheetViews>
  <sheetFormatPr defaultRowHeight="15"/>
  <cols>
    <col min="2" max="2" width="32.140625" customWidth="1"/>
  </cols>
  <sheetData>
    <row r="3" spans="2:2">
      <c r="B3" t="s">
        <v>103</v>
      </c>
    </row>
    <row r="4" spans="2:2">
      <c r="B4" t="s">
        <v>104</v>
      </c>
    </row>
    <row r="5" spans="2:2">
      <c r="B5" t="s">
        <v>105</v>
      </c>
    </row>
    <row r="6" spans="2:2">
      <c r="B6" t="s">
        <v>106</v>
      </c>
    </row>
    <row r="7" spans="2:2">
      <c r="B7" t="s">
        <v>108</v>
      </c>
    </row>
    <row r="8" spans="2:2">
      <c r="B8" t="s">
        <v>109</v>
      </c>
    </row>
    <row r="9" spans="2:2">
      <c r="B9" t="s">
        <v>107</v>
      </c>
    </row>
    <row r="10" spans="2:2">
      <c r="B10" t="s">
        <v>110</v>
      </c>
    </row>
    <row r="11" spans="2:2">
      <c r="B11" t="s">
        <v>111</v>
      </c>
    </row>
    <row r="12" spans="2:2">
      <c r="B12" t="s">
        <v>112</v>
      </c>
    </row>
    <row r="13" spans="2:2">
      <c r="B13" t="s">
        <v>113</v>
      </c>
    </row>
    <row r="14" spans="2:2">
      <c r="B14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実験1-試験片寸法-計算用</vt:lpstr>
      <vt:lpstr>実験1-荷重とたわみの測定結果</vt:lpstr>
      <vt:lpstr>実験2-ひずみゲージ接続法の違い</vt:lpstr>
      <vt:lpstr>実験2-SFD図とBMD図の自動作成</vt:lpstr>
      <vt:lpstr>実験2-SFD図とBMD図</vt:lpstr>
      <vt:lpstr>実験2-ひずみゲージ接続法の違い (2)</vt:lpstr>
      <vt:lpstr>実験3</vt:lpstr>
      <vt:lpstr>実験3-SFDとBMD</vt:lpstr>
      <vt:lpstr>解析2</vt:lpstr>
      <vt:lpstr>プレゼンで発表すべき内容自動生成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Yoshino</cp:lastModifiedBy>
  <dcterms:created xsi:type="dcterms:W3CDTF">2017-11-01T05:43:42Z</dcterms:created>
  <dcterms:modified xsi:type="dcterms:W3CDTF">2017-11-10T13:42:21Z</dcterms:modified>
</cp:coreProperties>
</file>