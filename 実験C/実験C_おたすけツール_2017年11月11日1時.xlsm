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o\Desktop\実験C\"/>
    </mc:Choice>
  </mc:AlternateContent>
  <bookViews>
    <workbookView xWindow="-1260" yWindow="1260" windowWidth="25605" windowHeight="15465" firstSheet="4" activeTab="7"/>
  </bookViews>
  <sheets>
    <sheet name="実験1-試験片寸法-計算用" sheetId="1" r:id="rId1"/>
    <sheet name="実験1-荷重とたわみの測定結果" sheetId="3" r:id="rId2"/>
    <sheet name="実験2-ひずみゲージ接続法の違い" sheetId="4" r:id="rId3"/>
    <sheet name="実験2-SFD図とBMD図の自動作成" sheetId="12" r:id="rId4"/>
    <sheet name="実験2-bたわみの測定結果と計算結果" sheetId="9" r:id="rId5"/>
    <sheet name="実験3" sheetId="5" r:id="rId6"/>
    <sheet name="実験3-SFDとBMD" sheetId="7" r:id="rId7"/>
    <sheet name="解析1" sheetId="13" r:id="rId8"/>
    <sheet name="解析2" sheetId="2" r:id="rId9"/>
    <sheet name="解析3" sheetId="14" r:id="rId10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1" i="14" l="1"/>
  <c r="I10" i="14"/>
  <c r="H11" i="14"/>
  <c r="H10" i="14"/>
  <c r="G11" i="14"/>
  <c r="G10" i="14"/>
  <c r="F11" i="14"/>
  <c r="F10" i="14"/>
  <c r="G20" i="2"/>
  <c r="G21" i="2"/>
  <c r="G22" i="2"/>
  <c r="G23" i="2"/>
  <c r="G19" i="2"/>
  <c r="G12" i="2"/>
  <c r="E13" i="2"/>
  <c r="E14" i="2"/>
  <c r="E15" i="2"/>
  <c r="E12" i="2"/>
  <c r="F9" i="2"/>
  <c r="C20" i="2"/>
  <c r="C21" i="2"/>
  <c r="C22" i="2"/>
  <c r="C23" i="2"/>
  <c r="C19" i="2"/>
  <c r="C9" i="2"/>
  <c r="B9" i="2"/>
  <c r="B34" i="2"/>
  <c r="B35" i="2"/>
  <c r="B36" i="2"/>
  <c r="B33" i="2"/>
  <c r="C34" i="2"/>
  <c r="C35" i="2"/>
  <c r="C36" i="2"/>
  <c r="C33" i="2"/>
  <c r="C27" i="2"/>
  <c r="C28" i="2"/>
  <c r="C29" i="2"/>
  <c r="C30" i="2"/>
  <c r="C26" i="2"/>
  <c r="B27" i="2"/>
  <c r="B28" i="2"/>
  <c r="B29" i="2"/>
  <c r="B30" i="2"/>
  <c r="B26" i="2"/>
  <c r="E22" i="13"/>
  <c r="D22" i="13"/>
  <c r="B22" i="13"/>
  <c r="C19" i="13"/>
  <c r="C13" i="13"/>
  <c r="G28" i="12"/>
  <c r="H11" i="12"/>
  <c r="G27" i="12"/>
  <c r="H9" i="12"/>
  <c r="D27" i="12"/>
  <c r="H10" i="12"/>
  <c r="C27" i="12"/>
  <c r="E27" i="12"/>
  <c r="F27" i="12"/>
  <c r="D28" i="12"/>
  <c r="C28" i="12"/>
  <c r="E28" i="12"/>
  <c r="F28" i="12"/>
  <c r="H28" i="12"/>
  <c r="I28" i="12"/>
  <c r="H27" i="12"/>
  <c r="I27" i="12"/>
  <c r="D20" i="12"/>
  <c r="E20" i="12"/>
  <c r="D21" i="12"/>
  <c r="E21" i="12"/>
  <c r="G24" i="12"/>
  <c r="D24" i="12"/>
  <c r="H24" i="12"/>
  <c r="I24" i="12"/>
  <c r="C20" i="12"/>
  <c r="C21" i="12"/>
  <c r="C24" i="12"/>
  <c r="E24" i="12"/>
  <c r="F24" i="12"/>
  <c r="E17" i="12"/>
  <c r="D17" i="12"/>
  <c r="C1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60" i="12"/>
  <c r="F14" i="12"/>
  <c r="E14" i="12"/>
  <c r="G33" i="4"/>
  <c r="G34" i="4"/>
  <c r="G32" i="4"/>
  <c r="E21" i="4"/>
  <c r="E20" i="4"/>
  <c r="E14" i="4"/>
  <c r="F14" i="4"/>
  <c r="H34" i="4"/>
  <c r="I34" i="4"/>
  <c r="H33" i="4"/>
  <c r="I33" i="4"/>
  <c r="H32" i="4"/>
  <c r="I32" i="4"/>
  <c r="G29" i="4"/>
  <c r="G28" i="4"/>
  <c r="G27" i="4"/>
  <c r="H28" i="4"/>
  <c r="I28" i="4"/>
  <c r="H29" i="4"/>
  <c r="I29" i="4"/>
  <c r="H27" i="4"/>
  <c r="I27" i="4"/>
  <c r="G24" i="4"/>
  <c r="H24" i="4"/>
  <c r="I24" i="4"/>
  <c r="H11" i="4"/>
  <c r="F39" i="4"/>
  <c r="F40" i="4"/>
  <c r="F38" i="4"/>
  <c r="D29" i="4"/>
  <c r="C29" i="4"/>
  <c r="E28" i="4"/>
  <c r="F28" i="4"/>
  <c r="E29" i="4"/>
  <c r="F29" i="4"/>
  <c r="E27" i="4"/>
  <c r="F27" i="4"/>
  <c r="C20" i="4"/>
  <c r="C21" i="4"/>
  <c r="C24" i="4"/>
  <c r="C17" i="4"/>
  <c r="C34" i="4"/>
  <c r="G40" i="4"/>
  <c r="G41" i="4"/>
  <c r="C33" i="4"/>
  <c r="G39" i="4"/>
  <c r="C32" i="4"/>
  <c r="G38" i="4"/>
  <c r="D20" i="4"/>
  <c r="D21" i="4"/>
  <c r="D24" i="4"/>
  <c r="D34" i="4"/>
  <c r="E34" i="4"/>
  <c r="D33" i="4"/>
  <c r="E33" i="4"/>
  <c r="F33" i="4"/>
  <c r="F34" i="4"/>
  <c r="D32" i="4"/>
  <c r="E32" i="4"/>
  <c r="F32" i="4"/>
  <c r="H10" i="4"/>
  <c r="C27" i="4"/>
  <c r="K25" i="1"/>
  <c r="L25" i="1"/>
  <c r="H9" i="4"/>
  <c r="D28" i="4"/>
  <c r="D27" i="4"/>
  <c r="C28" i="4"/>
  <c r="E24" i="4"/>
  <c r="F24" i="4"/>
  <c r="E17" i="4"/>
  <c r="D17" i="4"/>
  <c r="D41" i="4"/>
  <c r="E41" i="4"/>
  <c r="F41" i="4"/>
  <c r="C41" i="4"/>
  <c r="E19" i="1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49" i="3"/>
  <c r="M60" i="3"/>
  <c r="M59" i="3"/>
  <c r="M58" i="3"/>
  <c r="M57" i="3"/>
  <c r="M56" i="3"/>
  <c r="M55" i="3"/>
  <c r="N40" i="3"/>
  <c r="N38" i="3"/>
  <c r="N36" i="3"/>
  <c r="N34" i="3"/>
  <c r="S32" i="3"/>
  <c r="R32" i="3"/>
  <c r="Q32" i="3"/>
  <c r="P32" i="3"/>
  <c r="O32" i="3"/>
  <c r="N32" i="3"/>
  <c r="D19" i="1"/>
  <c r="D40" i="3"/>
  <c r="D38" i="3"/>
  <c r="D36" i="3"/>
  <c r="D34" i="3"/>
  <c r="I32" i="3"/>
  <c r="H32" i="3"/>
  <c r="G32" i="3"/>
  <c r="F32" i="3"/>
  <c r="E32" i="3"/>
  <c r="D32" i="3"/>
  <c r="E46" i="1"/>
  <c r="E47" i="1"/>
  <c r="E45" i="1"/>
  <c r="C32" i="1"/>
  <c r="D32" i="1"/>
  <c r="C40" i="1"/>
  <c r="C46" i="1"/>
  <c r="D46" i="1"/>
  <c r="L26" i="1"/>
  <c r="D33" i="1"/>
  <c r="C41" i="1"/>
  <c r="C47" i="1"/>
  <c r="D47" i="1"/>
  <c r="D45" i="1"/>
  <c r="C45" i="1"/>
  <c r="D40" i="1"/>
  <c r="D41" i="1"/>
  <c r="D39" i="1"/>
  <c r="F47" i="1"/>
  <c r="H47" i="1"/>
  <c r="J47" i="1"/>
  <c r="E40" i="1"/>
  <c r="F40" i="1"/>
  <c r="G47" i="1"/>
  <c r="I47" i="1"/>
  <c r="F46" i="1"/>
  <c r="H46" i="1"/>
  <c r="J46" i="1"/>
  <c r="K24" i="1"/>
  <c r="C31" i="1"/>
  <c r="L24" i="1"/>
  <c r="D31" i="1"/>
  <c r="C39" i="1"/>
  <c r="E39" i="1"/>
  <c r="F39" i="1"/>
  <c r="G46" i="1"/>
  <c r="I46" i="1"/>
  <c r="F45" i="1"/>
  <c r="H45" i="1"/>
  <c r="J45" i="1"/>
  <c r="G45" i="1"/>
  <c r="I45" i="1"/>
  <c r="F41" i="1"/>
  <c r="N24" i="1"/>
  <c r="N25" i="1"/>
  <c r="N26" i="1"/>
  <c r="M26" i="1"/>
  <c r="M24" i="1"/>
  <c r="M25" i="1"/>
  <c r="K26" i="1"/>
  <c r="C33" i="1"/>
  <c r="H85" i="1"/>
  <c r="J85" i="1"/>
  <c r="G85" i="1"/>
  <c r="I85" i="1"/>
  <c r="H84" i="1"/>
  <c r="J84" i="1"/>
  <c r="G84" i="1"/>
  <c r="I84" i="1"/>
  <c r="H83" i="1"/>
  <c r="J83" i="1"/>
  <c r="G83" i="1"/>
  <c r="I83" i="1"/>
  <c r="H79" i="1"/>
  <c r="J79" i="1"/>
  <c r="G79" i="1"/>
  <c r="I79" i="1"/>
  <c r="H78" i="1"/>
  <c r="J78" i="1"/>
  <c r="G78" i="1"/>
  <c r="I78" i="1"/>
  <c r="H77" i="1"/>
  <c r="J77" i="1"/>
  <c r="G77" i="1"/>
  <c r="I77" i="1"/>
  <c r="H60" i="1"/>
  <c r="J60" i="1"/>
  <c r="G60" i="1"/>
  <c r="I60" i="1"/>
  <c r="H59" i="1"/>
  <c r="J59" i="1"/>
  <c r="G59" i="1"/>
  <c r="I59" i="1"/>
  <c r="H58" i="1"/>
  <c r="J58" i="1"/>
  <c r="G58" i="1"/>
  <c r="I58" i="1"/>
  <c r="H66" i="1"/>
  <c r="J66" i="1"/>
  <c r="G66" i="1"/>
  <c r="I66" i="1"/>
  <c r="H65" i="1"/>
  <c r="J65" i="1"/>
  <c r="G65" i="1"/>
  <c r="I65" i="1"/>
  <c r="H64" i="1"/>
  <c r="J64" i="1"/>
  <c r="G64" i="1"/>
  <c r="I64" i="1"/>
  <c r="G39" i="1"/>
  <c r="H39" i="1"/>
  <c r="I39" i="1"/>
  <c r="J39" i="1"/>
  <c r="G40" i="1"/>
  <c r="H40" i="1"/>
  <c r="I40" i="1"/>
  <c r="J40" i="1"/>
  <c r="E41" i="1"/>
  <c r="G41" i="1"/>
  <c r="H41" i="1"/>
  <c r="I41" i="1"/>
  <c r="J41" i="1"/>
  <c r="H32" i="1"/>
  <c r="J32" i="1"/>
  <c r="H33" i="1"/>
  <c r="J33" i="1"/>
  <c r="H31" i="1"/>
  <c r="J31" i="1"/>
  <c r="G32" i="1"/>
  <c r="I32" i="1"/>
  <c r="G33" i="1"/>
  <c r="I33" i="1"/>
  <c r="G31" i="1"/>
  <c r="I31" i="1"/>
  <c r="D5" i="5"/>
  <c r="D4" i="5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93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4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36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8" i="7"/>
  <c r="C115" i="7"/>
  <c r="C116" i="7"/>
  <c r="C117" i="7"/>
  <c r="C118" i="7"/>
  <c r="C64" i="7"/>
  <c r="C65" i="7"/>
  <c r="C66" i="7"/>
  <c r="C67" i="7"/>
  <c r="C59" i="7"/>
  <c r="C60" i="7"/>
  <c r="C61" i="7"/>
  <c r="C62" i="7"/>
  <c r="C31" i="7"/>
  <c r="C32" i="7"/>
  <c r="C33" i="7"/>
  <c r="C34" i="7"/>
  <c r="C36" i="7"/>
  <c r="C37" i="7"/>
  <c r="C38" i="7"/>
  <c r="C39" i="7"/>
  <c r="C9" i="7"/>
  <c r="C10" i="7"/>
  <c r="C11" i="7"/>
  <c r="C12" i="7"/>
  <c r="C88" i="7"/>
  <c r="C89" i="7"/>
  <c r="C90" i="7"/>
  <c r="C91" i="7"/>
  <c r="C93" i="7"/>
  <c r="C94" i="7"/>
  <c r="C95" i="7"/>
  <c r="C96" i="7"/>
  <c r="C106" i="7"/>
  <c r="C107" i="7"/>
  <c r="C108" i="7"/>
  <c r="C109" i="7"/>
  <c r="C110" i="7"/>
  <c r="C111" i="7"/>
  <c r="C112" i="7"/>
  <c r="C113" i="7"/>
  <c r="C114" i="7"/>
  <c r="C98" i="7"/>
  <c r="C99" i="7"/>
  <c r="C100" i="7"/>
  <c r="C101" i="7"/>
  <c r="C102" i="7"/>
  <c r="C103" i="7"/>
  <c r="C104" i="7"/>
  <c r="C105" i="7"/>
  <c r="C97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68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40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A11" i="5"/>
  <c r="B12" i="5"/>
  <c r="B11" i="5"/>
  <c r="C11" i="5"/>
  <c r="D11" i="5"/>
  <c r="E11" i="5"/>
  <c r="A9" i="5"/>
  <c r="B9" i="5"/>
  <c r="C9" i="5"/>
  <c r="D9" i="5"/>
  <c r="E9" i="5"/>
</calcChain>
</file>

<file path=xl/sharedStrings.xml><?xml version="1.0" encoding="utf-8"?>
<sst xmlns="http://schemas.openxmlformats.org/spreadsheetml/2006/main" count="481" uniqueCount="180">
  <si>
    <r>
      <rPr>
        <sz val="11"/>
        <color theme="1"/>
        <rFont val="ＭＳ Ｐ明朝"/>
        <family val="1"/>
        <charset val="128"/>
      </rPr>
      <t>試験片</t>
    </r>
    <rPh sb="0" eb="2">
      <t>シケン</t>
    </rPh>
    <rPh sb="2" eb="3">
      <t>ヘン</t>
    </rPh>
    <phoneticPr fontId="1"/>
  </si>
  <si>
    <r>
      <rPr>
        <sz val="11"/>
        <color theme="1"/>
        <rFont val="ＭＳ Ｐ明朝"/>
        <family val="1"/>
        <charset val="128"/>
      </rPr>
      <t>幅</t>
    </r>
    <r>
      <rPr>
        <sz val="11"/>
        <color theme="1"/>
        <rFont val="Times New Roman"/>
        <family val="1"/>
      </rPr>
      <t>b [mm]</t>
    </r>
    <rPh sb="0" eb="1">
      <t>ハバ</t>
    </rPh>
    <phoneticPr fontId="1"/>
  </si>
  <si>
    <r>
      <rPr>
        <sz val="11"/>
        <color theme="1"/>
        <rFont val="ＭＳ Ｐ明朝"/>
        <family val="1"/>
        <charset val="128"/>
      </rPr>
      <t>厚さ</t>
    </r>
    <r>
      <rPr>
        <sz val="11"/>
        <color theme="1"/>
        <rFont val="Times New Roman"/>
        <family val="1"/>
      </rPr>
      <t>t [mm]</t>
    </r>
    <rPh sb="0" eb="1">
      <t>アツ</t>
    </rPh>
    <phoneticPr fontId="1"/>
  </si>
  <si>
    <t>レベルバー毎での要素数の表</t>
    <rPh sb="5" eb="6">
      <t>ゴト</t>
    </rPh>
    <rPh sb="8" eb="10">
      <t>ヨウソ</t>
    </rPh>
    <rPh sb="10" eb="11">
      <t>スウ</t>
    </rPh>
    <rPh sb="12" eb="13">
      <t>ヒョウ</t>
    </rPh>
    <phoneticPr fontId="1"/>
  </si>
  <si>
    <t>レベルバー</t>
  </si>
  <si>
    <t>要素数</t>
    <rPh sb="0" eb="2">
      <t>ヨウソ</t>
    </rPh>
    <rPh sb="2" eb="3">
      <t>スウ</t>
    </rPh>
    <phoneticPr fontId="1"/>
  </si>
  <si>
    <r>
      <t>最大応力σ</t>
    </r>
    <r>
      <rPr>
        <vertAlign val="subscript"/>
        <sz val="10.5"/>
        <color theme="1"/>
        <rFont val="ＭＳ Ｐ明朝"/>
        <family val="1"/>
        <charset val="128"/>
      </rPr>
      <t xml:space="preserve">max </t>
    </r>
    <r>
      <rPr>
        <sz val="10.5"/>
        <color theme="1"/>
        <rFont val="ＭＳ Ｐ明朝"/>
        <family val="1"/>
        <charset val="128"/>
      </rPr>
      <t>[GPa]</t>
    </r>
    <rPh sb="0" eb="2">
      <t>サイダイ</t>
    </rPh>
    <rPh sb="2" eb="4">
      <t>オウリョク</t>
    </rPh>
    <phoneticPr fontId="1"/>
  </si>
  <si>
    <t>応力集中係数κ</t>
    <rPh sb="0" eb="2">
      <t>オウリョク</t>
    </rPh>
    <rPh sb="2" eb="4">
      <t>シュウチュウ</t>
    </rPh>
    <rPh sb="4" eb="6">
      <t>ケイスウ</t>
    </rPh>
    <phoneticPr fontId="1"/>
  </si>
  <si>
    <t>孔径2a [m]</t>
    <rPh sb="0" eb="2">
      <t>コウケイ</t>
    </rPh>
    <phoneticPr fontId="1"/>
  </si>
  <si>
    <t>孔径比</t>
    <rPh sb="0" eb="2">
      <t>コウケイ</t>
    </rPh>
    <rPh sb="2" eb="3">
      <t>ヒ</t>
    </rPh>
    <phoneticPr fontId="1"/>
  </si>
  <si>
    <t>応力集中係数と孔径比の関係</t>
  </si>
  <si>
    <t>応力集中係数と要素数の関係</t>
  </si>
  <si>
    <t>孔径比</t>
  </si>
  <si>
    <t>ダイヤルゲージの読み</t>
  </si>
  <si>
    <r>
      <t>1</t>
    </r>
    <r>
      <rPr>
        <sz val="10.5"/>
        <color theme="1"/>
        <rFont val="ＭＳ Ｐ明朝"/>
        <family val="1"/>
        <charset val="128"/>
      </rPr>
      <t>回目</t>
    </r>
  </si>
  <si>
    <t>往路</t>
  </si>
  <si>
    <t>d</t>
  </si>
  <si>
    <t>δ</t>
  </si>
  <si>
    <t>復路</t>
  </si>
  <si>
    <r>
      <t>2</t>
    </r>
    <r>
      <rPr>
        <sz val="10.5"/>
        <color theme="1"/>
        <rFont val="ＭＳ Ｐ明朝"/>
        <family val="1"/>
        <charset val="128"/>
      </rPr>
      <t>回目</t>
    </r>
  </si>
  <si>
    <r>
      <t>3</t>
    </r>
    <r>
      <rPr>
        <sz val="10.5"/>
        <color theme="1"/>
        <rFont val="ＭＳ Ｐ明朝"/>
        <family val="1"/>
        <charset val="128"/>
      </rPr>
      <t>回目</t>
    </r>
  </si>
  <si>
    <r>
      <t>d [mm]</t>
    </r>
    <r>
      <rPr>
        <sz val="10.5"/>
        <color theme="1"/>
        <rFont val="ＭＳ Ｐ明朝"/>
        <family val="1"/>
        <charset val="128"/>
      </rPr>
      <t>とたわみ</t>
    </r>
    <r>
      <rPr>
        <sz val="10.5"/>
        <color theme="1"/>
        <rFont val="Times New Roman"/>
        <family val="1"/>
      </rPr>
      <t>δ [mm]</t>
    </r>
  </si>
  <si>
    <r>
      <t>荷重</t>
    </r>
    <r>
      <rPr>
        <sz val="10.5"/>
        <color theme="1"/>
        <rFont val="Times New Roman"/>
        <family val="1"/>
      </rPr>
      <t>P [N]</t>
    </r>
  </si>
  <si>
    <t>接続法</t>
  </si>
  <si>
    <t>平均</t>
  </si>
  <si>
    <t>理論値</t>
  </si>
  <si>
    <r>
      <t>1</t>
    </r>
    <r>
      <rPr>
        <sz val="10.5"/>
        <color theme="1"/>
        <rFont val="ＭＳ Ｐ明朝"/>
        <family val="1"/>
        <charset val="128"/>
      </rPr>
      <t>ゲージ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ＭＳ Ｐ明朝"/>
        <family val="1"/>
        <charset val="128"/>
      </rPr>
      <t>線法</t>
    </r>
  </si>
  <si>
    <r>
      <t>1</t>
    </r>
    <r>
      <rPr>
        <sz val="10.5"/>
        <color theme="1"/>
        <rFont val="ＭＳ Ｐ明朝"/>
        <family val="1"/>
        <charset val="128"/>
      </rPr>
      <t>ゲージ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ＭＳ Ｐ明朝"/>
        <family val="1"/>
        <charset val="128"/>
      </rPr>
      <t>線法</t>
    </r>
  </si>
  <si>
    <r>
      <t>ひずみ　[</t>
    </r>
    <r>
      <rPr>
        <sz val="10.5"/>
        <color theme="1"/>
        <rFont val="Times New Roman"/>
        <family val="1"/>
      </rPr>
      <t>×10</t>
    </r>
    <r>
      <rPr>
        <vertAlign val="superscript"/>
        <sz val="10.5"/>
        <color theme="1"/>
        <rFont val="Times New Roman"/>
        <family val="1"/>
      </rPr>
      <t>-6</t>
    </r>
    <r>
      <rPr>
        <sz val="10.5"/>
        <color theme="1"/>
        <rFont val="Times New Roman"/>
        <family val="1"/>
      </rPr>
      <t xml:space="preserve"> m]</t>
    </r>
  </si>
  <si>
    <r>
      <t>2</t>
    </r>
    <r>
      <rPr>
        <sz val="10.5"/>
        <color theme="1"/>
        <rFont val="ＭＳ Ｐ明朝"/>
        <family val="1"/>
        <charset val="128"/>
      </rPr>
      <t>ゲージアクティブ法(2倍値)</t>
    </r>
  </si>
  <si>
    <r>
      <t>測定位置</t>
    </r>
    <r>
      <rPr>
        <sz val="10.5"/>
        <color theme="1"/>
        <rFont val="Times New Roman"/>
        <family val="1"/>
      </rPr>
      <t>(m)</t>
    </r>
  </si>
  <si>
    <r>
      <t>たわみの測定値</t>
    </r>
    <r>
      <rPr>
        <sz val="10.5"/>
        <color theme="1"/>
        <rFont val="Times New Roman"/>
        <family val="1"/>
      </rPr>
      <t>(×10</t>
    </r>
    <r>
      <rPr>
        <vertAlign val="superscript"/>
        <sz val="10.5"/>
        <color theme="1"/>
        <rFont val="Times New Roman"/>
        <family val="1"/>
      </rPr>
      <t>-3</t>
    </r>
    <r>
      <rPr>
        <sz val="10.5"/>
        <color theme="1"/>
        <rFont val="Times New Roman"/>
        <family val="1"/>
      </rPr>
      <t>m)</t>
    </r>
  </si>
  <si>
    <r>
      <t>理論値</t>
    </r>
    <r>
      <rPr>
        <sz val="10.5"/>
        <color theme="1"/>
        <rFont val="Times New Roman"/>
        <family val="1"/>
      </rPr>
      <t>(×10</t>
    </r>
    <r>
      <rPr>
        <vertAlign val="superscript"/>
        <sz val="10.5"/>
        <color theme="1"/>
        <rFont val="Times New Roman"/>
        <family val="1"/>
      </rPr>
      <t>-3</t>
    </r>
    <r>
      <rPr>
        <sz val="10.5"/>
        <color theme="1"/>
        <rFont val="Times New Roman"/>
        <family val="1"/>
      </rPr>
      <t>m)</t>
    </r>
  </si>
  <si>
    <t>測定値</t>
    <rPh sb="0" eb="2">
      <t>ソクテイ</t>
    </rPh>
    <rPh sb="2" eb="3">
      <t>アタイ</t>
    </rPh>
    <phoneticPr fontId="1"/>
  </si>
  <si>
    <t>支点からの距離x</t>
    <rPh sb="0" eb="2">
      <t>シテン</t>
    </rPh>
    <rPh sb="5" eb="7">
      <t>キョリ</t>
    </rPh>
    <phoneticPr fontId="1"/>
  </si>
  <si>
    <t>計測種</t>
    <rPh sb="0" eb="2">
      <t>ケイソク</t>
    </rPh>
    <rPh sb="2" eb="3">
      <t>シュ</t>
    </rPh>
    <phoneticPr fontId="1"/>
  </si>
  <si>
    <t>たわみ [×10-3  m]</t>
    <phoneticPr fontId="1"/>
  </si>
  <si>
    <t>ひずみ [×10-6  m]</t>
    <phoneticPr fontId="1"/>
  </si>
  <si>
    <t xml:space="preserve">0.22 [m] </t>
    <phoneticPr fontId="1"/>
  </si>
  <si>
    <t xml:space="preserve">0.32 [m] </t>
    <phoneticPr fontId="1"/>
  </si>
  <si>
    <t xml:space="preserve">0.35 [m] </t>
    <phoneticPr fontId="1"/>
  </si>
  <si>
    <t>じ</t>
    <phoneticPr fontId="1"/>
  </si>
  <si>
    <t>x</t>
    <phoneticPr fontId="1"/>
  </si>
  <si>
    <t>M</t>
    <phoneticPr fontId="1"/>
  </si>
  <si>
    <t>y</t>
    <phoneticPr fontId="1"/>
  </si>
  <si>
    <t>RBの計算</t>
    <rPh sb="3" eb="5">
      <t>ケイサン</t>
    </rPh>
    <phoneticPr fontId="1"/>
  </si>
  <si>
    <t>Q</t>
    <phoneticPr fontId="1"/>
  </si>
  <si>
    <t>aaa</t>
    <phoneticPr fontId="1"/>
  </si>
  <si>
    <t>測定値</t>
    <rPh sb="0" eb="2">
      <t>ソクテイ</t>
    </rPh>
    <rPh sb="2" eb="3">
      <t>アタイ</t>
    </rPh>
    <phoneticPr fontId="1"/>
  </si>
  <si>
    <t>断面二次モーメント</t>
    <rPh sb="0" eb="2">
      <t>ダンメン</t>
    </rPh>
    <rPh sb="2" eb="4">
      <t>ニジ</t>
    </rPh>
    <phoneticPr fontId="1"/>
  </si>
  <si>
    <r>
      <rPr>
        <sz val="11"/>
        <color theme="1"/>
        <rFont val="ＭＳ Ｐ明朝"/>
        <family val="1"/>
        <charset val="128"/>
      </rPr>
      <t>試験片寸法とその誤差率</t>
    </r>
    <rPh sb="0" eb="2">
      <t>シケン</t>
    </rPh>
    <rPh sb="2" eb="3">
      <t>ヘン</t>
    </rPh>
    <rPh sb="3" eb="5">
      <t>スンポウ</t>
    </rPh>
    <rPh sb="8" eb="10">
      <t>ゴサ</t>
    </rPh>
    <rPh sb="10" eb="11">
      <t>リツ</t>
    </rPh>
    <phoneticPr fontId="1"/>
  </si>
  <si>
    <r>
      <rPr>
        <sz val="11"/>
        <color theme="1"/>
        <rFont val="ＭＳ Ｐ明朝"/>
        <family val="1"/>
        <charset val="128"/>
      </rPr>
      <t>測定値</t>
    </r>
    <rPh sb="0" eb="2">
      <t>ソクテイ</t>
    </rPh>
    <rPh sb="2" eb="3">
      <t>アタイ</t>
    </rPh>
    <phoneticPr fontId="1"/>
  </si>
  <si>
    <r>
      <rPr>
        <sz val="11"/>
        <color theme="1"/>
        <rFont val="ＭＳ Ｐ明朝"/>
        <family val="1"/>
        <charset val="128"/>
      </rPr>
      <t>理想値</t>
    </r>
    <rPh sb="0" eb="2">
      <t>リソウ</t>
    </rPh>
    <rPh sb="2" eb="3">
      <t>アタイ</t>
    </rPh>
    <phoneticPr fontId="1"/>
  </si>
  <si>
    <r>
      <rPr>
        <sz val="11"/>
        <color theme="1"/>
        <rFont val="ＭＳ Ｐ明朝"/>
        <family val="1"/>
        <charset val="128"/>
      </rPr>
      <t>誤差</t>
    </r>
    <rPh sb="0" eb="2">
      <t>ゴサ</t>
    </rPh>
    <phoneticPr fontId="1"/>
  </si>
  <si>
    <r>
      <rPr>
        <sz val="11"/>
        <color theme="1"/>
        <rFont val="ＭＳ Ｐ明朝"/>
        <family val="1"/>
        <charset val="128"/>
      </rPr>
      <t>誤差率</t>
    </r>
    <rPh sb="0" eb="2">
      <t>ゴサ</t>
    </rPh>
    <rPh sb="2" eb="3">
      <t>リツ</t>
    </rPh>
    <phoneticPr fontId="1"/>
  </si>
  <si>
    <r>
      <rPr>
        <sz val="11"/>
        <color theme="1"/>
        <rFont val="ＭＳ Ｐ明朝"/>
        <family val="1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</si>
  <si>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ＭＳ Ｐ明朝"/>
        <family val="1"/>
        <charset val="128"/>
      </rPr>
      <t>入力範囲</t>
    </r>
    <rPh sb="0" eb="2">
      <t>ニュウリョク</t>
    </rPh>
    <rPh sb="2" eb="4">
      <t>ハンイ</t>
    </rPh>
    <phoneticPr fontId="1"/>
  </si>
  <si>
    <r>
      <rPr>
        <sz val="11"/>
        <color theme="1"/>
        <rFont val="ＭＳ Ｐ明朝"/>
        <family val="1"/>
        <charset val="128"/>
      </rPr>
      <t>I</t>
    </r>
    <r>
      <rPr>
        <sz val="11"/>
        <color theme="1"/>
        <rFont val="Times New Roman"/>
        <family val="1"/>
      </rPr>
      <t xml:space="preserve"> [m</t>
    </r>
    <r>
      <rPr>
        <vertAlign val="super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]</t>
    </r>
    <phoneticPr fontId="1"/>
  </si>
  <si>
    <t>ヤング率</t>
    <rPh sb="3" eb="4">
      <t>リツ</t>
    </rPh>
    <phoneticPr fontId="1"/>
  </si>
  <si>
    <t>断面二次モーメントとその誤差率</t>
    <rPh sb="0" eb="2">
      <t>ダンメン</t>
    </rPh>
    <rPh sb="2" eb="4">
      <t>ニジ</t>
    </rPh>
    <rPh sb="12" eb="14">
      <t>ゴサ</t>
    </rPh>
    <rPh sb="14" eb="15">
      <t>リツ</t>
    </rPh>
    <phoneticPr fontId="1"/>
  </si>
  <si>
    <t>測定者誤差の影響</t>
    <rPh sb="0" eb="2">
      <t>ソクテイ</t>
    </rPh>
    <rPh sb="2" eb="3">
      <t>シャ</t>
    </rPh>
    <rPh sb="3" eb="5">
      <t>ゴサ</t>
    </rPh>
    <rPh sb="6" eb="8">
      <t>エイキョウ</t>
    </rPh>
    <phoneticPr fontId="1"/>
  </si>
  <si>
    <r>
      <rPr>
        <sz val="11"/>
        <color theme="1"/>
        <rFont val="ＭＳ Ｐ明朝"/>
        <family val="1"/>
        <charset val="128"/>
      </rPr>
      <t>実験</t>
    </r>
    <r>
      <rPr>
        <sz val="11"/>
        <color theme="1"/>
        <rFont val="Times New Roman"/>
        <family val="1"/>
      </rPr>
      <t>1-</t>
    </r>
    <r>
      <rPr>
        <sz val="11"/>
        <color theme="1"/>
        <rFont val="ＭＳ Ｐ明朝"/>
        <family val="1"/>
        <charset val="128"/>
      </rPr>
      <t>試験片寸法</t>
    </r>
    <rPh sb="0" eb="2">
      <t>ジッケン</t>
    </rPh>
    <rPh sb="4" eb="6">
      <t>シケン</t>
    </rPh>
    <rPh sb="6" eb="7">
      <t>ヘン</t>
    </rPh>
    <rPh sb="7" eb="9">
      <t>スンポウ</t>
    </rPh>
    <phoneticPr fontId="1"/>
  </si>
  <si>
    <t>測定者誤差の仮定</t>
    <rPh sb="0" eb="2">
      <t>ソクテイ</t>
    </rPh>
    <rPh sb="2" eb="3">
      <t>シャ</t>
    </rPh>
    <rPh sb="3" eb="5">
      <t>ゴサ</t>
    </rPh>
    <rPh sb="6" eb="8">
      <t>カテイ</t>
    </rPh>
    <phoneticPr fontId="1"/>
  </si>
  <si>
    <t>自動計算範囲</t>
    <rPh sb="0" eb="2">
      <t>ジドウ</t>
    </rPh>
    <rPh sb="2" eb="4">
      <t>ケイサン</t>
    </rPh>
    <rPh sb="4" eb="6">
      <t>ハンイ</t>
    </rPh>
    <phoneticPr fontId="1"/>
  </si>
  <si>
    <t>自動計算範囲は何も入力しないこと。</t>
    <rPh sb="0" eb="2">
      <t>ジドウ</t>
    </rPh>
    <rPh sb="2" eb="4">
      <t>ケイサン</t>
    </rPh>
    <rPh sb="4" eb="6">
      <t>ハンイ</t>
    </rPh>
    <rPh sb="7" eb="8">
      <t>ナニ</t>
    </rPh>
    <rPh sb="9" eb="11">
      <t>ニュウリョク</t>
    </rPh>
    <phoneticPr fontId="1"/>
  </si>
  <si>
    <t>計測器誤差の影響</t>
    <rPh sb="0" eb="2">
      <t>ケイソク</t>
    </rPh>
    <rPh sb="3" eb="5">
      <t>ゴサ</t>
    </rPh>
    <rPh sb="6" eb="8">
      <t>エイキョウ</t>
    </rPh>
    <phoneticPr fontId="1"/>
  </si>
  <si>
    <t>試験片寸法</t>
    <rPh sb="0" eb="2">
      <t>シケン</t>
    </rPh>
    <rPh sb="2" eb="3">
      <t>ヘン</t>
    </rPh>
    <rPh sb="3" eb="5">
      <t>スンポウ</t>
    </rPh>
    <phoneticPr fontId="1"/>
  </si>
  <si>
    <t>測定者誤差の設定</t>
    <rPh sb="0" eb="2">
      <t>ソクテイ</t>
    </rPh>
    <rPh sb="2" eb="3">
      <t>シャ</t>
    </rPh>
    <rPh sb="3" eb="5">
      <t>ゴサ</t>
    </rPh>
    <rPh sb="6" eb="8">
      <t>セッテイ</t>
    </rPh>
    <phoneticPr fontId="1"/>
  </si>
  <si>
    <r>
      <rPr>
        <sz val="11"/>
        <color theme="1"/>
        <rFont val="ＭＳ Ｐ明朝"/>
        <family val="1"/>
        <charset val="128"/>
      </rPr>
      <t>ノギス</t>
    </r>
    <r>
      <rPr>
        <sz val="11"/>
        <color theme="1"/>
        <rFont val="Times New Roman"/>
        <family val="1"/>
      </rPr>
      <t xml:space="preserve"> [mm]</t>
    </r>
    <phoneticPr fontId="1"/>
  </si>
  <si>
    <r>
      <rPr>
        <sz val="11"/>
        <color theme="1"/>
        <rFont val="ＭＳ Ｐ明朝"/>
        <family val="1"/>
        <charset val="128"/>
      </rPr>
      <t>マイクロメーター</t>
    </r>
    <r>
      <rPr>
        <sz val="11"/>
        <color theme="1"/>
        <rFont val="Times New Roman"/>
        <family val="1"/>
      </rPr>
      <t xml:space="preserve"> [mm]</t>
    </r>
    <phoneticPr fontId="1"/>
  </si>
  <si>
    <r>
      <rPr>
        <sz val="11"/>
        <color theme="1"/>
        <rFont val="ＭＳ Ｐ明朝"/>
        <family val="1"/>
        <charset val="128"/>
      </rPr>
      <t>マイクロメーター</t>
    </r>
    <r>
      <rPr>
        <sz val="11"/>
        <color theme="1"/>
        <rFont val="Times New Roman"/>
        <family val="1"/>
      </rPr>
      <t xml:space="preserve"> [mm]</t>
    </r>
    <phoneticPr fontId="1"/>
  </si>
  <si>
    <t>測定1回目</t>
    <rPh sb="0" eb="2">
      <t>ソクテイ</t>
    </rPh>
    <rPh sb="3" eb="5">
      <t>カイメ</t>
    </rPh>
    <phoneticPr fontId="1"/>
  </si>
  <si>
    <t>平均値</t>
    <rPh sb="0" eb="2">
      <t>ヘイキン</t>
    </rPh>
    <rPh sb="2" eb="3">
      <t>アタイ</t>
    </rPh>
    <phoneticPr fontId="1"/>
  </si>
  <si>
    <t>分散(ばらつき)</t>
    <rPh sb="0" eb="2">
      <t>ブンサン</t>
    </rPh>
    <phoneticPr fontId="1"/>
  </si>
  <si>
    <t>測定2回目</t>
    <rPh sb="0" eb="2">
      <t>ソクテイ</t>
    </rPh>
    <rPh sb="3" eb="5">
      <t>カイメ</t>
    </rPh>
    <phoneticPr fontId="1"/>
  </si>
  <si>
    <t>測定3回目</t>
    <rPh sb="0" eb="2">
      <t>ソクテイ</t>
    </rPh>
    <rPh sb="3" eb="5">
      <t>カイメ</t>
    </rPh>
    <phoneticPr fontId="1"/>
  </si>
  <si>
    <t>測定4回目</t>
    <rPh sb="0" eb="2">
      <t>ソクテイ</t>
    </rPh>
    <rPh sb="3" eb="5">
      <t>カイメ</t>
    </rPh>
    <phoneticPr fontId="1"/>
  </si>
  <si>
    <t>用いた材料データ</t>
    <rPh sb="0" eb="1">
      <t>モチ</t>
    </rPh>
    <rPh sb="3" eb="5">
      <t>ザイリョウ</t>
    </rPh>
    <phoneticPr fontId="1"/>
  </si>
  <si>
    <t>材料名</t>
    <rPh sb="0" eb="2">
      <t>ザイリョウ</t>
    </rPh>
    <rPh sb="2" eb="3">
      <t>メイ</t>
    </rPh>
    <phoneticPr fontId="1"/>
  </si>
  <si>
    <t>軟鋼</t>
    <rPh sb="0" eb="2">
      <t>ナンコウ</t>
    </rPh>
    <phoneticPr fontId="1"/>
  </si>
  <si>
    <t>ポアソン比</t>
    <rPh sb="4" eb="5">
      <t>ヒ</t>
    </rPh>
    <phoneticPr fontId="1"/>
  </si>
  <si>
    <r>
      <rPr>
        <sz val="11"/>
        <color theme="1"/>
        <rFont val="ＭＳ Ｐ明朝"/>
        <family val="1"/>
        <charset val="128"/>
      </rPr>
      <t>実験</t>
    </r>
    <r>
      <rPr>
        <sz val="11"/>
        <color theme="1"/>
        <rFont val="Times New Roman"/>
        <family val="1"/>
      </rPr>
      <t>1-</t>
    </r>
    <r>
      <rPr>
        <sz val="11"/>
        <color theme="1"/>
        <rFont val="ＭＳ Ｐ明朝"/>
        <family val="1"/>
        <charset val="128"/>
      </rPr>
      <t>荷重とたわみの測定結果</t>
    </r>
    <rPh sb="0" eb="2">
      <t>ジッケン</t>
    </rPh>
    <rPh sb="4" eb="6">
      <t>カジュウ</t>
    </rPh>
    <rPh sb="11" eb="13">
      <t>ソクテイ</t>
    </rPh>
    <rPh sb="13" eb="15">
      <t>ケッカ</t>
    </rPh>
    <phoneticPr fontId="1"/>
  </si>
  <si>
    <r>
      <rPr>
        <sz val="11"/>
        <color theme="1"/>
        <rFont val="ＭＳ Ｐ明朝"/>
        <family val="1"/>
        <charset val="128"/>
      </rPr>
      <t>測定値の</t>
    </r>
    <r>
      <rPr>
        <sz val="11"/>
        <color theme="1"/>
        <rFont val="Times New Roman"/>
        <family val="1"/>
      </rPr>
      <t>P/</t>
    </r>
    <r>
      <rPr>
        <sz val="11"/>
        <color theme="1"/>
        <rFont val="ＭＳ Ｐ明朝"/>
        <family val="1"/>
        <charset val="128"/>
      </rPr>
      <t>δを用いた場合</t>
    </r>
    <rPh sb="0" eb="2">
      <t>ソクテイ</t>
    </rPh>
    <rPh sb="2" eb="3">
      <t>アタイ</t>
    </rPh>
    <rPh sb="8" eb="9">
      <t>モチ</t>
    </rPh>
    <rPh sb="11" eb="13">
      <t>バアイ</t>
    </rPh>
    <phoneticPr fontId="1"/>
  </si>
  <si>
    <r>
      <rPr>
        <sz val="11"/>
        <color theme="1"/>
        <rFont val="ＭＳ Ｐ明朝"/>
        <family val="1"/>
        <charset val="128"/>
      </rPr>
      <t>補正値の</t>
    </r>
    <r>
      <rPr>
        <sz val="11"/>
        <color theme="1"/>
        <rFont val="Times New Roman"/>
        <family val="1"/>
      </rPr>
      <t>P/</t>
    </r>
    <r>
      <rPr>
        <sz val="11"/>
        <color theme="1"/>
        <rFont val="ＭＳ Ｐ明朝"/>
        <family val="1"/>
        <charset val="128"/>
      </rPr>
      <t>δを用いた場合</t>
    </r>
    <rPh sb="0" eb="2">
      <t>ホセイ</t>
    </rPh>
    <rPh sb="2" eb="3">
      <t>アタイ</t>
    </rPh>
    <rPh sb="8" eb="9">
      <t>モチ</t>
    </rPh>
    <rPh sb="11" eb="13">
      <t>バアイ</t>
    </rPh>
    <phoneticPr fontId="1"/>
  </si>
  <si>
    <t>測定値を用いた場合の材料データ</t>
    <rPh sb="0" eb="2">
      <t>ソクテイ</t>
    </rPh>
    <rPh sb="2" eb="3">
      <t>アタイ</t>
    </rPh>
    <rPh sb="4" eb="5">
      <t>モチ</t>
    </rPh>
    <rPh sb="7" eb="9">
      <t>バアイ</t>
    </rPh>
    <rPh sb="10" eb="12">
      <t>ザイリョウ</t>
    </rPh>
    <phoneticPr fontId="1"/>
  </si>
  <si>
    <t>補正値を用いた場合の材料データ</t>
    <rPh sb="0" eb="2">
      <t>ホセイ</t>
    </rPh>
    <rPh sb="2" eb="3">
      <t>アタイ</t>
    </rPh>
    <rPh sb="4" eb="5">
      <t>モチ</t>
    </rPh>
    <rPh sb="7" eb="9">
      <t>バアイ</t>
    </rPh>
    <rPh sb="10" eb="12">
      <t>ザイリョウ</t>
    </rPh>
    <phoneticPr fontId="1"/>
  </si>
  <si>
    <t>試験条件</t>
  </si>
  <si>
    <t>条件</t>
  </si>
  <si>
    <t>ヤング率[GPa]</t>
  </si>
  <si>
    <t>P/δ(補正前)</t>
  </si>
  <si>
    <t>P/δ(補正後)</t>
  </si>
  <si>
    <t>計測器誤差の設定</t>
  </si>
  <si>
    <t>δ（ｍｍ）</t>
    <phoneticPr fontId="1"/>
  </si>
  <si>
    <t>P (N)</t>
    <phoneticPr fontId="1"/>
  </si>
  <si>
    <t>グラフ作成用の表(補正前)</t>
  </si>
  <si>
    <t>レポート用の表(補正前)</t>
  </si>
  <si>
    <t>レポート用の表(0点補正後)/使用不可</t>
  </si>
  <si>
    <t>レポート用グラフ</t>
  </si>
  <si>
    <t>スパン長さL [m] (試験片1)</t>
  </si>
  <si>
    <t>計測器誤差の仮定</t>
  </si>
  <si>
    <t>0点補正後</t>
  </si>
  <si>
    <t>0点補正前</t>
  </si>
  <si>
    <t>レポート用表</t>
  </si>
  <si>
    <t>2ゲージ2アクティブ法</t>
  </si>
  <si>
    <t>実験2-a: ひずみゲージ接続法による測定結果の違い</t>
  </si>
  <si>
    <t>自動計算範囲は何も入力しないこと．初めに，レポート用の表とグラフ用の表を埋めること．</t>
  </si>
  <si>
    <t>※下のグラフから読み取る．</t>
  </si>
  <si>
    <t>自動計算範囲は何も入力しないこと．</t>
  </si>
  <si>
    <t>理論値算出</t>
  </si>
  <si>
    <t>各ひずみゲージの接続位置</t>
  </si>
  <si>
    <t>1ゲージ2線法</t>
  </si>
  <si>
    <t>1ゲージ3線法</t>
  </si>
  <si>
    <t>梁のスパン長さL [m]</t>
  </si>
  <si>
    <t>荷重</t>
  </si>
  <si>
    <t>荷重 [N]</t>
  </si>
  <si>
    <t>ヤング率</t>
  </si>
  <si>
    <t>ヤング率E [GPa]</t>
  </si>
  <si>
    <t>測定値</t>
  </si>
  <si>
    <t>理論値を用いた場合の材料データ</t>
  </si>
  <si>
    <t>補正値</t>
  </si>
  <si>
    <t>断面係数</t>
  </si>
  <si>
    <t>断面係数 [m^3]</t>
  </si>
  <si>
    <t>試験片2の寸法</t>
  </si>
  <si>
    <t>幅 [mm]</t>
  </si>
  <si>
    <t>厚さ [mm]</t>
  </si>
  <si>
    <t>荷重点(s1) [m]</t>
  </si>
  <si>
    <t>荷重点から右端までの距離(s2)</t>
  </si>
  <si>
    <t>誤差</t>
  </si>
  <si>
    <t>誤差率</t>
  </si>
  <si>
    <t>左端からの距離 [m](理論値)</t>
  </si>
  <si>
    <t>左端からの距離 [m](測定値)</t>
  </si>
  <si>
    <t>曲げモーメント</t>
  </si>
  <si>
    <t>ひずみ</t>
  </si>
  <si>
    <t>左端からの距離 [m](補正値)</t>
  </si>
  <si>
    <t>補正誤差(正負で入力)</t>
  </si>
  <si>
    <t>1ゲージ2線法[10^-6 m]</t>
  </si>
  <si>
    <t>1ゲージ3線法[10^-6 m]</t>
  </si>
  <si>
    <t>2ゲージ2アクティブ法[10^-6 m]</t>
  </si>
  <si>
    <t>x</t>
  </si>
  <si>
    <t>Q</t>
  </si>
  <si>
    <t>M</t>
  </si>
  <si>
    <t>補正値のグラフ</t>
  </si>
  <si>
    <t>測定値のグラフ</t>
  </si>
  <si>
    <t>理論値のグラフ</t>
  </si>
  <si>
    <r>
      <rPr>
        <sz val="11"/>
        <color theme="1"/>
        <rFont val="ＭＳ Ｐ明朝"/>
        <family val="1"/>
        <charset val="128"/>
      </rPr>
      <t>実験2</t>
    </r>
    <r>
      <rPr>
        <sz val="11"/>
        <color theme="1"/>
        <rFont val="Times New Roman"/>
        <family val="1"/>
      </rPr>
      <t>-</t>
    </r>
    <r>
      <rPr>
        <sz val="11"/>
        <color theme="1"/>
        <rFont val="ＭＳ Ｐ明朝"/>
        <family val="1"/>
        <charset val="128"/>
      </rPr>
      <t>荷重とたわみの測定結果</t>
    </r>
  </si>
  <si>
    <t>作図ボタン</t>
  </si>
  <si>
    <t>支持反力</t>
  </si>
  <si>
    <t>Ra</t>
  </si>
  <si>
    <t>Rb</t>
  </si>
  <si>
    <t>実験2-b: SFD図とBMD図の自動作成</t>
  </si>
  <si>
    <t>全ての重ね合わせグラフ</t>
  </si>
  <si>
    <t>上記の黄色いセルに任意の値を入力してから，作図スタートボタンを押してください．</t>
  </si>
  <si>
    <t>解析1</t>
  </si>
  <si>
    <t>試験片寸法</t>
  </si>
  <si>
    <t>厚さ [m]</t>
  </si>
  <si>
    <t>幅 [m]</t>
  </si>
  <si>
    <t>長さ[m]</t>
  </si>
  <si>
    <t>断面二次モーメント</t>
  </si>
  <si>
    <t>I</t>
  </si>
  <si>
    <t>たわみ</t>
  </si>
  <si>
    <t>たわみ[mm]</t>
  </si>
  <si>
    <t>レポート用の表</t>
  </si>
  <si>
    <t>理論値[mm]</t>
  </si>
  <si>
    <t>FEM解析値[mm]</t>
  </si>
  <si>
    <t>設定条件</t>
  </si>
  <si>
    <t>解析2</t>
  </si>
  <si>
    <t>解析3</t>
  </si>
  <si>
    <t>各種設定</t>
  </si>
  <si>
    <t>板の横幅</t>
  </si>
  <si>
    <t>板の厚さt</t>
  </si>
  <si>
    <t>板の長さ</t>
  </si>
  <si>
    <t>基準応力σ0[Pa]</t>
  </si>
  <si>
    <t>担当した孔径</t>
  </si>
  <si>
    <t>作用応力σ0</t>
  </si>
  <si>
    <t>作用応力</t>
  </si>
  <si>
    <t>測定位置</t>
  </si>
  <si>
    <t>FEM解析値</t>
  </si>
  <si>
    <t>黄色いセルを入力してから表作成ボタンを押してください．</t>
  </si>
  <si>
    <t>測定値と理論値</t>
  </si>
  <si>
    <t>FEM解析値と理論値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</si>
</sst>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"/>
    <numFmt numFmtId="166" formatCode="0.000_ "/>
    <numFmt numFmtId="167" formatCode="0.000000000"/>
    <numFmt numFmtId="178" formatCode="0.00000000000000"/>
  </numFmts>
  <fonts count="1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sz val="10.5"/>
      <color theme="1"/>
      <name val="ＭＳ Ｐ明朝"/>
      <family val="1"/>
      <charset val="128"/>
    </font>
    <font>
      <sz val="10.5"/>
      <color theme="1"/>
      <name val="Times New Roman"/>
      <family val="1"/>
    </font>
    <font>
      <vertAlign val="subscript"/>
      <sz val="10.5"/>
      <color theme="1"/>
      <name val="ＭＳ Ｐ明朝"/>
      <family val="1"/>
      <charset val="128"/>
    </font>
    <font>
      <vertAlign val="superscript"/>
      <sz val="10.5"/>
      <color theme="1"/>
      <name val="Times New Roman"/>
      <family val="1"/>
    </font>
    <font>
      <sz val="12"/>
      <color theme="1"/>
      <name val="Yu Mincho"/>
      <family val="3"/>
      <charset val="128"/>
    </font>
    <font>
      <sz val="12"/>
      <color theme="1"/>
      <name val="Times New Roman"/>
    </font>
    <font>
      <u/>
      <sz val="11"/>
      <color theme="10"/>
      <name val="Calibri"/>
      <family val="2"/>
      <charset val="128"/>
      <scheme val="minor"/>
    </font>
    <font>
      <u/>
      <sz val="11"/>
      <color theme="1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vertAlign val="superscript"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rgb="FFFF0000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10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top"/>
    </xf>
    <xf numFmtId="0" fontId="8" fillId="0" borderId="5" xfId="0" applyFont="1" applyBorder="1" applyAlignment="1">
      <alignment horizontal="center" vertical="top"/>
    </xf>
    <xf numFmtId="0" fontId="2" fillId="0" borderId="1" xfId="0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165" fontId="2" fillId="0" borderId="3" xfId="0" applyNumberFormat="1" applyFont="1" applyBorder="1">
      <alignment vertical="center"/>
    </xf>
    <xf numFmtId="164" fontId="2" fillId="0" borderId="3" xfId="0" applyNumberFormat="1" applyFont="1" applyBorder="1">
      <alignment vertical="center"/>
    </xf>
    <xf numFmtId="10" fontId="2" fillId="0" borderId="3" xfId="9" applyNumberFormat="1" applyFont="1" applyBorder="1">
      <alignment vertical="center"/>
    </xf>
    <xf numFmtId="165" fontId="2" fillId="0" borderId="1" xfId="0" applyNumberFormat="1" applyFont="1" applyBorder="1">
      <alignment vertical="center"/>
    </xf>
    <xf numFmtId="164" fontId="2" fillId="0" borderId="1" xfId="0" applyNumberFormat="1" applyFont="1" applyBorder="1">
      <alignment vertical="center"/>
    </xf>
    <xf numFmtId="10" fontId="2" fillId="0" borderId="1" xfId="9" applyNumberFormat="1" applyFont="1" applyBorder="1">
      <alignment vertical="center"/>
    </xf>
    <xf numFmtId="0" fontId="2" fillId="2" borderId="1" xfId="0" applyFont="1" applyFill="1" applyBorder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3" xfId="0" applyFont="1" applyFill="1" applyBorder="1">
      <alignment vertical="center"/>
    </xf>
    <xf numFmtId="0" fontId="2" fillId="0" borderId="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165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165" fontId="2" fillId="0" borderId="6" xfId="0" applyNumberFormat="1" applyFont="1" applyBorder="1">
      <alignment vertical="center"/>
    </xf>
    <xf numFmtId="164" fontId="2" fillId="0" borderId="7" xfId="0" applyNumberFormat="1" applyFont="1" applyBorder="1">
      <alignment vertical="center"/>
    </xf>
    <xf numFmtId="10" fontId="2" fillId="0" borderId="6" xfId="9" applyNumberFormat="1" applyFont="1" applyBorder="1">
      <alignment vertical="center"/>
    </xf>
    <xf numFmtId="10" fontId="2" fillId="0" borderId="7" xfId="9" applyNumberFormat="1" applyFont="1" applyBorder="1">
      <alignment vertical="center"/>
    </xf>
    <xf numFmtId="165" fontId="2" fillId="0" borderId="12" xfId="0" applyNumberFormat="1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center" vertical="center"/>
    </xf>
    <xf numFmtId="165" fontId="2" fillId="2" borderId="8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>
      <alignment vertical="center"/>
    </xf>
    <xf numFmtId="164" fontId="2" fillId="0" borderId="3" xfId="0" applyNumberFormat="1" applyFont="1" applyFill="1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 applyBorder="1" applyAlignment="1">
      <alignment vertical="center"/>
    </xf>
    <xf numFmtId="2" fontId="2" fillId="4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>
      <alignment vertical="center"/>
    </xf>
    <xf numFmtId="164" fontId="2" fillId="0" borderId="0" xfId="0" applyNumberFormat="1" applyFont="1" applyFill="1" applyBorder="1">
      <alignment vertical="center"/>
    </xf>
    <xf numFmtId="10" fontId="2" fillId="0" borderId="0" xfId="9" applyNumberFormat="1" applyFont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66" fontId="0" fillId="2" borderId="15" xfId="0" applyNumberFormat="1" applyFill="1" applyBorder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15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164" fontId="0" fillId="0" borderId="22" xfId="0" applyNumberFormat="1" applyFill="1" applyBorder="1" applyAlignment="1">
      <alignment horizontal="center" vertical="center"/>
    </xf>
    <xf numFmtId="164" fontId="0" fillId="0" borderId="20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165" fontId="5" fillId="5" borderId="2" xfId="0" applyNumberFormat="1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164" fontId="5" fillId="5" borderId="3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2" fontId="0" fillId="0" borderId="1" xfId="0" applyNumberFormat="1" applyBorder="1">
      <alignment vertical="center"/>
    </xf>
    <xf numFmtId="10" fontId="0" fillId="0" borderId="3" xfId="9" applyNumberFormat="1" applyFont="1" applyBorder="1">
      <alignment vertical="center"/>
    </xf>
    <xf numFmtId="167" fontId="0" fillId="0" borderId="3" xfId="0" applyNumberFormat="1" applyFill="1" applyBorder="1">
      <alignment vertical="center"/>
    </xf>
    <xf numFmtId="167" fontId="0" fillId="0" borderId="3" xfId="0" applyNumberFormat="1" applyBorder="1">
      <alignment vertical="center"/>
    </xf>
    <xf numFmtId="2" fontId="5" fillId="0" borderId="3" xfId="0" applyNumberFormat="1" applyFont="1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6" borderId="2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5" fillId="5" borderId="4" xfId="0" applyNumberFormat="1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 vertical="center"/>
    </xf>
    <xf numFmtId="0" fontId="0" fillId="3" borderId="21" xfId="0" applyFill="1" applyBorder="1" applyAlignment="1">
      <alignment horizontal="left" vertical="center"/>
    </xf>
    <xf numFmtId="0" fontId="5" fillId="5" borderId="1" xfId="0" applyFont="1" applyFill="1" applyBorder="1" applyAlignment="1">
      <alignment vertical="top" wrapText="1"/>
    </xf>
    <xf numFmtId="0" fontId="5" fillId="5" borderId="2" xfId="0" applyFont="1" applyFill="1" applyBorder="1" applyAlignment="1">
      <alignment vertical="top" wrapText="1"/>
    </xf>
    <xf numFmtId="0" fontId="2" fillId="0" borderId="0" xfId="0" applyFont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5" fillId="2" borderId="4" xfId="0" applyNumberFormat="1" applyFont="1" applyFill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2" xfId="0" applyFill="1" applyBorder="1" applyAlignment="1">
      <alignment horizontal="left" vertical="center"/>
    </xf>
    <xf numFmtId="0" fontId="3" fillId="3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78" fontId="0" fillId="0" borderId="1" xfId="0" applyNumberFormat="1" applyFill="1" applyBorder="1">
      <alignment vertical="center"/>
    </xf>
    <xf numFmtId="178" fontId="0" fillId="0" borderId="1" xfId="0" applyNumberFormat="1" applyBorder="1">
      <alignment vertical="center"/>
    </xf>
    <xf numFmtId="164" fontId="0" fillId="0" borderId="1" xfId="0" applyNumberFormat="1" applyBorder="1">
      <alignment vertical="center"/>
    </xf>
    <xf numFmtId="0" fontId="0" fillId="0" borderId="0" xfId="0" applyAlignment="1">
      <alignment horizontal="left" vertical="center"/>
    </xf>
    <xf numFmtId="164" fontId="0" fillId="0" borderId="3" xfId="0" applyNumberFormat="1" applyBorder="1">
      <alignment vertical="center"/>
    </xf>
    <xf numFmtId="0" fontId="0" fillId="3" borderId="0" xfId="0" applyFill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2" fontId="0" fillId="0" borderId="3" xfId="0" applyNumberFormat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10" fontId="0" fillId="0" borderId="3" xfId="9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</cellXfs>
  <cellStyles count="10">
    <cellStyle name="パーセント" xfId="9" builtinId="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'実験1-荷重とたわみの測定結果'!$D$48</c:f>
              <c:strCache>
                <c:ptCount val="1"/>
                <c:pt idx="0">
                  <c:v>P 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'実験1-荷重とたわみの測定結果'!$C$49:$C$81</c:f>
              <c:numCache>
                <c:formatCode>General</c:formatCode>
                <c:ptCount val="33"/>
                <c:pt idx="0">
                  <c:v>0</c:v>
                </c:pt>
                <c:pt idx="1">
                  <c:v>3.0000000000000001E-3</c:v>
                </c:pt>
                <c:pt idx="2">
                  <c:v>0</c:v>
                </c:pt>
                <c:pt idx="3">
                  <c:v>7.0000000000000001E-3</c:v>
                </c:pt>
                <c:pt idx="4">
                  <c:v>0</c:v>
                </c:pt>
                <c:pt idx="5">
                  <c:v>-0.01</c:v>
                </c:pt>
                <c:pt idx="6">
                  <c:v>0.14799999999999999</c:v>
                </c:pt>
                <c:pt idx="7">
                  <c:v>0.16200000000000001</c:v>
                </c:pt>
                <c:pt idx="8">
                  <c:v>0.14699999999999999</c:v>
                </c:pt>
                <c:pt idx="9">
                  <c:v>0.13700000000000001</c:v>
                </c:pt>
                <c:pt idx="10">
                  <c:v>0.14799999999999999</c:v>
                </c:pt>
                <c:pt idx="11">
                  <c:v>0.158</c:v>
                </c:pt>
                <c:pt idx="12" formatCode="0.000_ ">
                  <c:v>0.308</c:v>
                </c:pt>
                <c:pt idx="13" formatCode="0.000_ ">
                  <c:v>0.32600000000000001</c:v>
                </c:pt>
                <c:pt idx="14">
                  <c:v>0.312</c:v>
                </c:pt>
                <c:pt idx="15">
                  <c:v>0.32800000000000001</c:v>
                </c:pt>
                <c:pt idx="16" formatCode="0.000_ ">
                  <c:v>0.31</c:v>
                </c:pt>
                <c:pt idx="17">
                  <c:v>0.314</c:v>
                </c:pt>
                <c:pt idx="18" formatCode="0.000_ ">
                  <c:v>0.48499999999999999</c:v>
                </c:pt>
                <c:pt idx="19" formatCode="0.000_ ">
                  <c:v>0.49</c:v>
                </c:pt>
                <c:pt idx="20">
                  <c:v>0.47799999999999998</c:v>
                </c:pt>
                <c:pt idx="21">
                  <c:v>0.498</c:v>
                </c:pt>
                <c:pt idx="22" formatCode="0.000_ ">
                  <c:v>0.48</c:v>
                </c:pt>
                <c:pt idx="23">
                  <c:v>0.48899999999999999</c:v>
                </c:pt>
                <c:pt idx="24" formatCode="0.000_ ">
                  <c:v>0.63700000000000001</c:v>
                </c:pt>
                <c:pt idx="25">
                  <c:v>0.64700000000000002</c:v>
                </c:pt>
                <c:pt idx="26">
                  <c:v>0.63700000000000001</c:v>
                </c:pt>
                <c:pt idx="27">
                  <c:v>0.65400000000000003</c:v>
                </c:pt>
                <c:pt idx="28">
                  <c:v>0.64700000000000002</c:v>
                </c:pt>
                <c:pt idx="29">
                  <c:v>0.64900000000000002</c:v>
                </c:pt>
                <c:pt idx="30" formatCode="0.000_ ">
                  <c:v>0.95599999999999996</c:v>
                </c:pt>
                <c:pt idx="31">
                  <c:v>0.96499999999999997</c:v>
                </c:pt>
                <c:pt idx="32" formatCode="0.000_ ">
                  <c:v>0.96</c:v>
                </c:pt>
              </c:numCache>
            </c:numRef>
          </c:xVal>
          <c:yVal>
            <c:numRef>
              <c:f>'実験1-荷重とたわみの測定結果'!$D$49:$D$81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4.9000000000000004</c:v>
                </c:pt>
                <c:pt idx="7">
                  <c:v>4.9000000000000004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4.9000000000000004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14.7</c:v>
                </c:pt>
                <c:pt idx="19">
                  <c:v>14.7</c:v>
                </c:pt>
                <c:pt idx="20">
                  <c:v>14.7</c:v>
                </c:pt>
                <c:pt idx="21">
                  <c:v>14.7</c:v>
                </c:pt>
                <c:pt idx="22">
                  <c:v>14.7</c:v>
                </c:pt>
                <c:pt idx="23">
                  <c:v>14.7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29.4</c:v>
                </c:pt>
                <c:pt idx="31">
                  <c:v>29.4</c:v>
                </c:pt>
                <c:pt idx="32">
                  <c:v>29.4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001488"/>
        <c:axId val="372998352"/>
      </c:scatterChart>
      <c:valAx>
        <c:axId val="37300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たわみ</a:t>
                </a:r>
              </a:p>
            </c:rich>
          </c:tx>
          <c:layout>
            <c:manualLayout>
              <c:xMode val="edge"/>
              <c:yMode val="edge"/>
              <c:x val="0.43599065609447663"/>
              <c:y val="0.90301692523427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98352"/>
        <c:crosses val="autoZero"/>
        <c:crossBetween val="midCat"/>
      </c:valAx>
      <c:valAx>
        <c:axId val="3729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荷重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01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'実験1-荷重とたわみの測定結果'!$N$48</c:f>
              <c:strCache>
                <c:ptCount val="1"/>
                <c:pt idx="0">
                  <c:v>P 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'実験1-荷重とたわみの測定結果'!$M$49:$M$81</c:f>
              <c:numCache>
                <c:formatCode>General</c:formatCode>
                <c:ptCount val="33"/>
                <c:pt idx="0">
                  <c:v>0</c:v>
                </c:pt>
                <c:pt idx="1">
                  <c:v>3.0000000000000001E-3</c:v>
                </c:pt>
                <c:pt idx="2">
                  <c:v>0</c:v>
                </c:pt>
                <c:pt idx="3">
                  <c:v>7.0000000000000001E-3</c:v>
                </c:pt>
                <c:pt idx="4">
                  <c:v>0</c:v>
                </c:pt>
                <c:pt idx="5">
                  <c:v>-0.01</c:v>
                </c:pt>
                <c:pt idx="6" formatCode="0.000">
                  <c:v>0.14799999999999999</c:v>
                </c:pt>
                <c:pt idx="7" formatCode="0.000">
                  <c:v>0.159</c:v>
                </c:pt>
                <c:pt idx="8" formatCode="0.000">
                  <c:v>0.14699999999999999</c:v>
                </c:pt>
                <c:pt idx="9" formatCode="0.000">
                  <c:v>0.13</c:v>
                </c:pt>
                <c:pt idx="10" formatCode="0.000">
                  <c:v>0.14799999999999999</c:v>
                </c:pt>
                <c:pt idx="11" formatCode="0.000">
                  <c:v>0.16800000000000001</c:v>
                </c:pt>
                <c:pt idx="12" formatCode="0.000">
                  <c:v>0.308</c:v>
                </c:pt>
                <c:pt idx="13" formatCode="0.000">
                  <c:v>0.32300000000000001</c:v>
                </c:pt>
                <c:pt idx="14" formatCode="0.000">
                  <c:v>0.312</c:v>
                </c:pt>
                <c:pt idx="15" formatCode="0.000">
                  <c:v>0.32100000000000001</c:v>
                </c:pt>
                <c:pt idx="16" formatCode="0.000">
                  <c:v>0.31</c:v>
                </c:pt>
                <c:pt idx="17" formatCode="0.000">
                  <c:v>0.32400000000000001</c:v>
                </c:pt>
                <c:pt idx="18" formatCode="0.000">
                  <c:v>0.48499999999999999</c:v>
                </c:pt>
                <c:pt idx="19" formatCode="0.000">
                  <c:v>0.48699999999999999</c:v>
                </c:pt>
                <c:pt idx="20" formatCode="0.000">
                  <c:v>0.47799999999999998</c:v>
                </c:pt>
                <c:pt idx="21" formatCode="0.000">
                  <c:v>0.49099999999999999</c:v>
                </c:pt>
                <c:pt idx="22" formatCode="0.000">
                  <c:v>0.48</c:v>
                </c:pt>
                <c:pt idx="23" formatCode="0.000">
                  <c:v>0.499</c:v>
                </c:pt>
                <c:pt idx="24" formatCode="0.000">
                  <c:v>0.63700000000000001</c:v>
                </c:pt>
                <c:pt idx="25" formatCode="0.000">
                  <c:v>0.64400000000000002</c:v>
                </c:pt>
                <c:pt idx="26" formatCode="0.000">
                  <c:v>0.63700000000000001</c:v>
                </c:pt>
                <c:pt idx="27" formatCode="0.000">
                  <c:v>0.64700000000000002</c:v>
                </c:pt>
                <c:pt idx="28" formatCode="0.000">
                  <c:v>0.64700000000000002</c:v>
                </c:pt>
                <c:pt idx="29" formatCode="0.000">
                  <c:v>0.65900000000000003</c:v>
                </c:pt>
                <c:pt idx="30" formatCode="0.000">
                  <c:v>0.95599999999999996</c:v>
                </c:pt>
                <c:pt idx="31" formatCode="0.000">
                  <c:v>0.96499999999999997</c:v>
                </c:pt>
                <c:pt idx="32" formatCode="0.000">
                  <c:v>0.96</c:v>
                </c:pt>
              </c:numCache>
            </c:numRef>
          </c:xVal>
          <c:yVal>
            <c:numRef>
              <c:f>'実験1-荷重とたわみの測定結果'!$N$49:$N$81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4.9000000000000004</c:v>
                </c:pt>
                <c:pt idx="7">
                  <c:v>4.9000000000000004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4.9000000000000004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14.7</c:v>
                </c:pt>
                <c:pt idx="19">
                  <c:v>14.7</c:v>
                </c:pt>
                <c:pt idx="20">
                  <c:v>14.7</c:v>
                </c:pt>
                <c:pt idx="21">
                  <c:v>14.7</c:v>
                </c:pt>
                <c:pt idx="22">
                  <c:v>14.7</c:v>
                </c:pt>
                <c:pt idx="23">
                  <c:v>14.7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29.4</c:v>
                </c:pt>
                <c:pt idx="31">
                  <c:v>29.4</c:v>
                </c:pt>
                <c:pt idx="32">
                  <c:v>29.4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999920"/>
        <c:axId val="373000704"/>
      </c:scatterChart>
      <c:valAx>
        <c:axId val="37299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00704"/>
        <c:crosses val="autoZero"/>
        <c:crossBetween val="midCat"/>
      </c:valAx>
      <c:valAx>
        <c:axId val="3730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9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'実験3-SFDとBMD'!$C$7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'実験3-SFDとBMD'!$B$8:$B$119</c:f>
              <c:numCache>
                <c:formatCode>General</c:formatCode>
                <c:ptCount val="11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0.11</c:v>
                </c:pt>
                <c:pt idx="16">
                  <c:v>0.12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0.15</c:v>
                </c:pt>
                <c:pt idx="20">
                  <c:v>0.16</c:v>
                </c:pt>
                <c:pt idx="21">
                  <c:v>0.17</c:v>
                </c:pt>
                <c:pt idx="22">
                  <c:v>0.18</c:v>
                </c:pt>
                <c:pt idx="23">
                  <c:v>0.182</c:v>
                </c:pt>
                <c:pt idx="24">
                  <c:v>0.184</c:v>
                </c:pt>
                <c:pt idx="25">
                  <c:v>0.186</c:v>
                </c:pt>
                <c:pt idx="26">
                  <c:v>0.188</c:v>
                </c:pt>
                <c:pt idx="27">
                  <c:v>0.19</c:v>
                </c:pt>
                <c:pt idx="28">
                  <c:v>0.192</c:v>
                </c:pt>
                <c:pt idx="29">
                  <c:v>0.19400000000000001</c:v>
                </c:pt>
                <c:pt idx="30">
                  <c:v>0.19600000000000001</c:v>
                </c:pt>
                <c:pt idx="31">
                  <c:v>0.19800000000000001</c:v>
                </c:pt>
                <c:pt idx="32">
                  <c:v>0.2</c:v>
                </c:pt>
                <c:pt idx="33">
                  <c:v>0.21</c:v>
                </c:pt>
                <c:pt idx="34">
                  <c:v>0.22</c:v>
                </c:pt>
                <c:pt idx="35">
                  <c:v>0.23</c:v>
                </c:pt>
                <c:pt idx="36">
                  <c:v>0.24</c:v>
                </c:pt>
                <c:pt idx="37">
                  <c:v>0.25</c:v>
                </c:pt>
                <c:pt idx="38">
                  <c:v>0.26</c:v>
                </c:pt>
                <c:pt idx="39">
                  <c:v>0.27</c:v>
                </c:pt>
                <c:pt idx="40">
                  <c:v>0.28000000000000003</c:v>
                </c:pt>
                <c:pt idx="41">
                  <c:v>0.28999999999999998</c:v>
                </c:pt>
                <c:pt idx="42">
                  <c:v>0.3</c:v>
                </c:pt>
                <c:pt idx="43">
                  <c:v>0.31</c:v>
                </c:pt>
                <c:pt idx="44">
                  <c:v>0.32</c:v>
                </c:pt>
                <c:pt idx="45">
                  <c:v>0.33</c:v>
                </c:pt>
                <c:pt idx="46">
                  <c:v>0.34</c:v>
                </c:pt>
                <c:pt idx="47">
                  <c:v>0.35</c:v>
                </c:pt>
                <c:pt idx="48">
                  <c:v>0.36</c:v>
                </c:pt>
                <c:pt idx="49">
                  <c:v>0.37</c:v>
                </c:pt>
                <c:pt idx="50">
                  <c:v>0.38</c:v>
                </c:pt>
                <c:pt idx="51">
                  <c:v>0.38200000000000001</c:v>
                </c:pt>
                <c:pt idx="52">
                  <c:v>0.38400000000000001</c:v>
                </c:pt>
                <c:pt idx="53">
                  <c:v>0.38600000000000001</c:v>
                </c:pt>
                <c:pt idx="54">
                  <c:v>0.38800000000000001</c:v>
                </c:pt>
                <c:pt idx="55">
                  <c:v>0.39</c:v>
                </c:pt>
                <c:pt idx="56">
                  <c:v>0.39200000000000002</c:v>
                </c:pt>
                <c:pt idx="57">
                  <c:v>0.39400000000000002</c:v>
                </c:pt>
                <c:pt idx="58">
                  <c:v>0.39600000000000002</c:v>
                </c:pt>
                <c:pt idx="59">
                  <c:v>0.39800000000000002</c:v>
                </c:pt>
                <c:pt idx="60">
                  <c:v>0.4</c:v>
                </c:pt>
                <c:pt idx="61">
                  <c:v>0.41</c:v>
                </c:pt>
                <c:pt idx="62">
                  <c:v>0.42</c:v>
                </c:pt>
                <c:pt idx="63">
                  <c:v>0.43</c:v>
                </c:pt>
                <c:pt idx="64">
                  <c:v>0.44</c:v>
                </c:pt>
                <c:pt idx="65">
                  <c:v>0.45</c:v>
                </c:pt>
                <c:pt idx="66">
                  <c:v>0.46</c:v>
                </c:pt>
                <c:pt idx="67">
                  <c:v>0.47</c:v>
                </c:pt>
                <c:pt idx="68">
                  <c:v>0.48</c:v>
                </c:pt>
                <c:pt idx="69">
                  <c:v>0.49</c:v>
                </c:pt>
                <c:pt idx="70">
                  <c:v>0.5</c:v>
                </c:pt>
                <c:pt idx="71">
                  <c:v>0.51</c:v>
                </c:pt>
                <c:pt idx="72">
                  <c:v>0.52</c:v>
                </c:pt>
                <c:pt idx="73">
                  <c:v>0.53</c:v>
                </c:pt>
                <c:pt idx="74">
                  <c:v>0.54</c:v>
                </c:pt>
                <c:pt idx="75">
                  <c:v>0.55000000000000004</c:v>
                </c:pt>
                <c:pt idx="76">
                  <c:v>0.56000000000000005</c:v>
                </c:pt>
                <c:pt idx="77">
                  <c:v>0.56999999999999995</c:v>
                </c:pt>
                <c:pt idx="78">
                  <c:v>0.57999999999999996</c:v>
                </c:pt>
                <c:pt idx="79">
                  <c:v>0.59</c:v>
                </c:pt>
                <c:pt idx="80">
                  <c:v>0.59199999999999997</c:v>
                </c:pt>
                <c:pt idx="81">
                  <c:v>0.59399999999999997</c:v>
                </c:pt>
                <c:pt idx="82">
                  <c:v>0.59599999999999997</c:v>
                </c:pt>
                <c:pt idx="83">
                  <c:v>0.59799999999999998</c:v>
                </c:pt>
                <c:pt idx="84">
                  <c:v>0.6</c:v>
                </c:pt>
                <c:pt idx="85">
                  <c:v>0.60199999999999998</c:v>
                </c:pt>
                <c:pt idx="86">
                  <c:v>0.60399999999999998</c:v>
                </c:pt>
                <c:pt idx="87">
                  <c:v>0.60599999999999998</c:v>
                </c:pt>
                <c:pt idx="88">
                  <c:v>0.60799999999999998</c:v>
                </c:pt>
                <c:pt idx="89">
                  <c:v>0.61</c:v>
                </c:pt>
                <c:pt idx="90">
                  <c:v>0.62</c:v>
                </c:pt>
                <c:pt idx="91">
                  <c:v>0.63</c:v>
                </c:pt>
                <c:pt idx="92">
                  <c:v>0.64</c:v>
                </c:pt>
                <c:pt idx="93">
                  <c:v>0.65</c:v>
                </c:pt>
                <c:pt idx="94">
                  <c:v>0.66</c:v>
                </c:pt>
                <c:pt idx="95">
                  <c:v>0.67</c:v>
                </c:pt>
                <c:pt idx="96">
                  <c:v>0.68</c:v>
                </c:pt>
                <c:pt idx="97">
                  <c:v>0.69</c:v>
                </c:pt>
                <c:pt idx="98">
                  <c:v>0.7</c:v>
                </c:pt>
                <c:pt idx="99">
                  <c:v>0.71</c:v>
                </c:pt>
                <c:pt idx="100">
                  <c:v>0.72</c:v>
                </c:pt>
                <c:pt idx="101">
                  <c:v>0.73</c:v>
                </c:pt>
                <c:pt idx="102">
                  <c:v>0.74</c:v>
                </c:pt>
                <c:pt idx="103">
                  <c:v>0.75</c:v>
                </c:pt>
                <c:pt idx="104">
                  <c:v>0.76</c:v>
                </c:pt>
                <c:pt idx="105">
                  <c:v>0.77</c:v>
                </c:pt>
                <c:pt idx="106">
                  <c:v>0.78</c:v>
                </c:pt>
                <c:pt idx="107">
                  <c:v>0.78200000000000003</c:v>
                </c:pt>
                <c:pt idx="108">
                  <c:v>0.78400000000000003</c:v>
                </c:pt>
                <c:pt idx="109">
                  <c:v>0.78600000000000003</c:v>
                </c:pt>
                <c:pt idx="110">
                  <c:v>0.78800000000000003</c:v>
                </c:pt>
                <c:pt idx="111">
                  <c:v>0.79</c:v>
                </c:pt>
              </c:numCache>
            </c:numRef>
          </c:xVal>
          <c:yVal>
            <c:numRef>
              <c:f>'実験3-SFDとBMD'!$C$8:$C$119</c:f>
              <c:numCache>
                <c:formatCode>General</c:formatCode>
                <c:ptCount val="112"/>
                <c:pt idx="0">
                  <c:v>0</c:v>
                </c:pt>
                <c:pt idx="1">
                  <c:v>-6.38</c:v>
                </c:pt>
                <c:pt idx="2">
                  <c:v>-6.38</c:v>
                </c:pt>
                <c:pt idx="3">
                  <c:v>-6.38</c:v>
                </c:pt>
                <c:pt idx="4">
                  <c:v>-6.38</c:v>
                </c:pt>
                <c:pt idx="5">
                  <c:v>-6.38</c:v>
                </c:pt>
                <c:pt idx="6">
                  <c:v>-6.38</c:v>
                </c:pt>
                <c:pt idx="7">
                  <c:v>-6.38</c:v>
                </c:pt>
                <c:pt idx="8">
                  <c:v>-6.38</c:v>
                </c:pt>
                <c:pt idx="9">
                  <c:v>-6.38</c:v>
                </c:pt>
                <c:pt idx="10">
                  <c:v>-6.38</c:v>
                </c:pt>
                <c:pt idx="11">
                  <c:v>-6.38</c:v>
                </c:pt>
                <c:pt idx="12">
                  <c:v>-6.38</c:v>
                </c:pt>
                <c:pt idx="13">
                  <c:v>-6.38</c:v>
                </c:pt>
                <c:pt idx="14">
                  <c:v>-6.38</c:v>
                </c:pt>
                <c:pt idx="15">
                  <c:v>-6.38</c:v>
                </c:pt>
                <c:pt idx="16">
                  <c:v>-6.38</c:v>
                </c:pt>
                <c:pt idx="17">
                  <c:v>-6.38</c:v>
                </c:pt>
                <c:pt idx="18">
                  <c:v>-6.38</c:v>
                </c:pt>
                <c:pt idx="19">
                  <c:v>-6.38</c:v>
                </c:pt>
                <c:pt idx="20">
                  <c:v>-6.38</c:v>
                </c:pt>
                <c:pt idx="21">
                  <c:v>-6.38</c:v>
                </c:pt>
                <c:pt idx="22">
                  <c:v>-6.38</c:v>
                </c:pt>
                <c:pt idx="23">
                  <c:v>-6.38</c:v>
                </c:pt>
                <c:pt idx="24">
                  <c:v>-6.38</c:v>
                </c:pt>
                <c:pt idx="25">
                  <c:v>-6.38</c:v>
                </c:pt>
                <c:pt idx="26">
                  <c:v>-6.38</c:v>
                </c:pt>
                <c:pt idx="27">
                  <c:v>0</c:v>
                </c:pt>
                <c:pt idx="28">
                  <c:v>13.22</c:v>
                </c:pt>
                <c:pt idx="29">
                  <c:v>13.22</c:v>
                </c:pt>
                <c:pt idx="30">
                  <c:v>13.22</c:v>
                </c:pt>
                <c:pt idx="31">
                  <c:v>13.22</c:v>
                </c:pt>
                <c:pt idx="32">
                  <c:v>13.22</c:v>
                </c:pt>
                <c:pt idx="33">
                  <c:v>13.22</c:v>
                </c:pt>
                <c:pt idx="34">
                  <c:v>13.22</c:v>
                </c:pt>
                <c:pt idx="35">
                  <c:v>13.22</c:v>
                </c:pt>
                <c:pt idx="36">
                  <c:v>13.22</c:v>
                </c:pt>
                <c:pt idx="37">
                  <c:v>13.22</c:v>
                </c:pt>
                <c:pt idx="38">
                  <c:v>13.22</c:v>
                </c:pt>
                <c:pt idx="39">
                  <c:v>13.22</c:v>
                </c:pt>
                <c:pt idx="40">
                  <c:v>13.22</c:v>
                </c:pt>
                <c:pt idx="41">
                  <c:v>13.22</c:v>
                </c:pt>
                <c:pt idx="42">
                  <c:v>13.22</c:v>
                </c:pt>
                <c:pt idx="43">
                  <c:v>13.22</c:v>
                </c:pt>
                <c:pt idx="44">
                  <c:v>13.22</c:v>
                </c:pt>
                <c:pt idx="45">
                  <c:v>13.22</c:v>
                </c:pt>
                <c:pt idx="46">
                  <c:v>13.22</c:v>
                </c:pt>
                <c:pt idx="47">
                  <c:v>13.22</c:v>
                </c:pt>
                <c:pt idx="48">
                  <c:v>13.22</c:v>
                </c:pt>
                <c:pt idx="49">
                  <c:v>13.22</c:v>
                </c:pt>
                <c:pt idx="50">
                  <c:v>13.22</c:v>
                </c:pt>
                <c:pt idx="51">
                  <c:v>13.22</c:v>
                </c:pt>
                <c:pt idx="52">
                  <c:v>13.22</c:v>
                </c:pt>
                <c:pt idx="53">
                  <c:v>13.22</c:v>
                </c:pt>
                <c:pt idx="54">
                  <c:v>13.22</c:v>
                </c:pt>
                <c:pt idx="55">
                  <c:v>0</c:v>
                </c:pt>
                <c:pt idx="56">
                  <c:v>-12.88</c:v>
                </c:pt>
                <c:pt idx="57">
                  <c:v>-12.88</c:v>
                </c:pt>
                <c:pt idx="58">
                  <c:v>-12.88</c:v>
                </c:pt>
                <c:pt idx="59">
                  <c:v>-12.88</c:v>
                </c:pt>
                <c:pt idx="60">
                  <c:v>-12.88</c:v>
                </c:pt>
                <c:pt idx="61">
                  <c:v>-12.88</c:v>
                </c:pt>
                <c:pt idx="62">
                  <c:v>-12.88</c:v>
                </c:pt>
                <c:pt idx="63">
                  <c:v>-12.88</c:v>
                </c:pt>
                <c:pt idx="64">
                  <c:v>-12.88</c:v>
                </c:pt>
                <c:pt idx="65">
                  <c:v>-12.88</c:v>
                </c:pt>
                <c:pt idx="66">
                  <c:v>-12.88</c:v>
                </c:pt>
                <c:pt idx="67">
                  <c:v>-12.88</c:v>
                </c:pt>
                <c:pt idx="68">
                  <c:v>-12.88</c:v>
                </c:pt>
                <c:pt idx="69">
                  <c:v>-12.88</c:v>
                </c:pt>
                <c:pt idx="70">
                  <c:v>-12.88</c:v>
                </c:pt>
                <c:pt idx="71">
                  <c:v>-12.88</c:v>
                </c:pt>
                <c:pt idx="72">
                  <c:v>-12.88</c:v>
                </c:pt>
                <c:pt idx="73">
                  <c:v>-12.88</c:v>
                </c:pt>
                <c:pt idx="74">
                  <c:v>-12.88</c:v>
                </c:pt>
                <c:pt idx="75">
                  <c:v>-12.88</c:v>
                </c:pt>
                <c:pt idx="76">
                  <c:v>-12.88</c:v>
                </c:pt>
                <c:pt idx="77">
                  <c:v>-12.88</c:v>
                </c:pt>
                <c:pt idx="78">
                  <c:v>-12.88</c:v>
                </c:pt>
                <c:pt idx="79">
                  <c:v>-12.88</c:v>
                </c:pt>
                <c:pt idx="80">
                  <c:v>-12.88</c:v>
                </c:pt>
                <c:pt idx="81">
                  <c:v>-12.88</c:v>
                </c:pt>
                <c:pt idx="82">
                  <c:v>-12.88</c:v>
                </c:pt>
                <c:pt idx="83">
                  <c:v>-12.88</c:v>
                </c:pt>
                <c:pt idx="84">
                  <c:v>0</c:v>
                </c:pt>
                <c:pt idx="85">
                  <c:v>6.72</c:v>
                </c:pt>
                <c:pt idx="86">
                  <c:v>6.72</c:v>
                </c:pt>
                <c:pt idx="87">
                  <c:v>6.72</c:v>
                </c:pt>
                <c:pt idx="88">
                  <c:v>6.72</c:v>
                </c:pt>
                <c:pt idx="89">
                  <c:v>6.72</c:v>
                </c:pt>
                <c:pt idx="90">
                  <c:v>6.72</c:v>
                </c:pt>
                <c:pt idx="91">
                  <c:v>6.72</c:v>
                </c:pt>
                <c:pt idx="92">
                  <c:v>6.72</c:v>
                </c:pt>
                <c:pt idx="93">
                  <c:v>6.72</c:v>
                </c:pt>
                <c:pt idx="94">
                  <c:v>6.72</c:v>
                </c:pt>
                <c:pt idx="95">
                  <c:v>6.72</c:v>
                </c:pt>
                <c:pt idx="96">
                  <c:v>6.72</c:v>
                </c:pt>
                <c:pt idx="97">
                  <c:v>6.72</c:v>
                </c:pt>
                <c:pt idx="98">
                  <c:v>6.72</c:v>
                </c:pt>
                <c:pt idx="99">
                  <c:v>6.72</c:v>
                </c:pt>
                <c:pt idx="100">
                  <c:v>6.72</c:v>
                </c:pt>
                <c:pt idx="101">
                  <c:v>6.72</c:v>
                </c:pt>
                <c:pt idx="102">
                  <c:v>6.72</c:v>
                </c:pt>
                <c:pt idx="103">
                  <c:v>6.72</c:v>
                </c:pt>
                <c:pt idx="104">
                  <c:v>6.72</c:v>
                </c:pt>
                <c:pt idx="105">
                  <c:v>6.72</c:v>
                </c:pt>
                <c:pt idx="106">
                  <c:v>6.72</c:v>
                </c:pt>
                <c:pt idx="107">
                  <c:v>6.72</c:v>
                </c:pt>
                <c:pt idx="108">
                  <c:v>6.72</c:v>
                </c:pt>
                <c:pt idx="109">
                  <c:v>6.72</c:v>
                </c:pt>
                <c:pt idx="110">
                  <c:v>6.72</c:v>
                </c:pt>
                <c:pt idx="11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BC-49D5-95E6-98C67F7E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68704"/>
        <c:axId val="372360472"/>
      </c:scatterChart>
      <c:valAx>
        <c:axId val="372368704"/>
        <c:scaling>
          <c:orientation val="minMax"/>
          <c:max val="0.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66945664941054"/>
              <c:y val="0.935897435897436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372360472"/>
        <c:crosses val="autoZero"/>
        <c:crossBetween val="midCat"/>
      </c:valAx>
      <c:valAx>
        <c:axId val="37236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せん断力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Q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[N]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3723687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'実験3-SFDとBMD'!$E$7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'実験3-SFDとBMD'!$D$8:$D$119</c:f>
              <c:numCache>
                <c:formatCode>General</c:formatCode>
                <c:ptCount val="11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0.11</c:v>
                </c:pt>
                <c:pt idx="16">
                  <c:v>0.12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0.15</c:v>
                </c:pt>
                <c:pt idx="20">
                  <c:v>0.16</c:v>
                </c:pt>
                <c:pt idx="21">
                  <c:v>0.17</c:v>
                </c:pt>
                <c:pt idx="22">
                  <c:v>0.18</c:v>
                </c:pt>
                <c:pt idx="23">
                  <c:v>0.182</c:v>
                </c:pt>
                <c:pt idx="24">
                  <c:v>0.184</c:v>
                </c:pt>
                <c:pt idx="25">
                  <c:v>0.186</c:v>
                </c:pt>
                <c:pt idx="26">
                  <c:v>0.188</c:v>
                </c:pt>
                <c:pt idx="27">
                  <c:v>0.19</c:v>
                </c:pt>
                <c:pt idx="28">
                  <c:v>0.192</c:v>
                </c:pt>
                <c:pt idx="29">
                  <c:v>0.19400000000000001</c:v>
                </c:pt>
                <c:pt idx="30">
                  <c:v>0.19600000000000001</c:v>
                </c:pt>
                <c:pt idx="31">
                  <c:v>0.19800000000000001</c:v>
                </c:pt>
                <c:pt idx="32">
                  <c:v>0.2</c:v>
                </c:pt>
                <c:pt idx="33">
                  <c:v>0.21</c:v>
                </c:pt>
                <c:pt idx="34">
                  <c:v>0.22</c:v>
                </c:pt>
                <c:pt idx="35">
                  <c:v>0.23</c:v>
                </c:pt>
                <c:pt idx="36">
                  <c:v>0.24</c:v>
                </c:pt>
                <c:pt idx="37">
                  <c:v>0.25</c:v>
                </c:pt>
                <c:pt idx="38">
                  <c:v>0.26</c:v>
                </c:pt>
                <c:pt idx="39">
                  <c:v>0.27</c:v>
                </c:pt>
                <c:pt idx="40">
                  <c:v>0.28000000000000003</c:v>
                </c:pt>
                <c:pt idx="41">
                  <c:v>0.28999999999999998</c:v>
                </c:pt>
                <c:pt idx="42">
                  <c:v>0.3</c:v>
                </c:pt>
                <c:pt idx="43">
                  <c:v>0.31</c:v>
                </c:pt>
                <c:pt idx="44">
                  <c:v>0.32</c:v>
                </c:pt>
                <c:pt idx="45">
                  <c:v>0.33</c:v>
                </c:pt>
                <c:pt idx="46">
                  <c:v>0.34</c:v>
                </c:pt>
                <c:pt idx="47">
                  <c:v>0.35</c:v>
                </c:pt>
                <c:pt idx="48">
                  <c:v>0.36</c:v>
                </c:pt>
                <c:pt idx="49">
                  <c:v>0.37</c:v>
                </c:pt>
                <c:pt idx="50">
                  <c:v>0.38</c:v>
                </c:pt>
                <c:pt idx="51">
                  <c:v>0.38200000000000001</c:v>
                </c:pt>
                <c:pt idx="52">
                  <c:v>0.38400000000000001</c:v>
                </c:pt>
                <c:pt idx="53">
                  <c:v>0.38600000000000001</c:v>
                </c:pt>
                <c:pt idx="54">
                  <c:v>0.38800000000000001</c:v>
                </c:pt>
                <c:pt idx="55">
                  <c:v>0.39</c:v>
                </c:pt>
                <c:pt idx="56">
                  <c:v>0.39200000000000002</c:v>
                </c:pt>
                <c:pt idx="57">
                  <c:v>0.39400000000000002</c:v>
                </c:pt>
                <c:pt idx="58">
                  <c:v>0.39600000000000002</c:v>
                </c:pt>
                <c:pt idx="59">
                  <c:v>0.39800000000000002</c:v>
                </c:pt>
                <c:pt idx="60">
                  <c:v>0.4</c:v>
                </c:pt>
                <c:pt idx="61">
                  <c:v>0.41</c:v>
                </c:pt>
                <c:pt idx="62">
                  <c:v>0.42</c:v>
                </c:pt>
                <c:pt idx="63">
                  <c:v>0.43</c:v>
                </c:pt>
                <c:pt idx="64">
                  <c:v>0.44</c:v>
                </c:pt>
                <c:pt idx="65">
                  <c:v>0.45</c:v>
                </c:pt>
                <c:pt idx="66">
                  <c:v>0.46</c:v>
                </c:pt>
                <c:pt idx="67">
                  <c:v>0.47</c:v>
                </c:pt>
                <c:pt idx="68">
                  <c:v>0.48</c:v>
                </c:pt>
                <c:pt idx="69">
                  <c:v>0.49</c:v>
                </c:pt>
                <c:pt idx="70">
                  <c:v>0.5</c:v>
                </c:pt>
                <c:pt idx="71">
                  <c:v>0.51</c:v>
                </c:pt>
                <c:pt idx="72">
                  <c:v>0.52</c:v>
                </c:pt>
                <c:pt idx="73">
                  <c:v>0.53</c:v>
                </c:pt>
                <c:pt idx="74">
                  <c:v>0.54</c:v>
                </c:pt>
                <c:pt idx="75">
                  <c:v>0.55000000000000004</c:v>
                </c:pt>
                <c:pt idx="76">
                  <c:v>0.56000000000000005</c:v>
                </c:pt>
                <c:pt idx="77">
                  <c:v>0.56999999999999995</c:v>
                </c:pt>
                <c:pt idx="78">
                  <c:v>0.57999999999999996</c:v>
                </c:pt>
                <c:pt idx="79">
                  <c:v>0.59</c:v>
                </c:pt>
                <c:pt idx="80">
                  <c:v>0.59199999999999997</c:v>
                </c:pt>
                <c:pt idx="81">
                  <c:v>0.59399999999999997</c:v>
                </c:pt>
                <c:pt idx="82">
                  <c:v>0.59599999999999997</c:v>
                </c:pt>
                <c:pt idx="83">
                  <c:v>0.59799999999999998</c:v>
                </c:pt>
                <c:pt idx="84">
                  <c:v>0.6</c:v>
                </c:pt>
                <c:pt idx="85">
                  <c:v>0.60199999999999998</c:v>
                </c:pt>
                <c:pt idx="86">
                  <c:v>0.60399999999999998</c:v>
                </c:pt>
                <c:pt idx="87">
                  <c:v>0.60599999999999998</c:v>
                </c:pt>
                <c:pt idx="88">
                  <c:v>0.60799999999999998</c:v>
                </c:pt>
                <c:pt idx="89">
                  <c:v>0.61</c:v>
                </c:pt>
                <c:pt idx="90">
                  <c:v>0.62</c:v>
                </c:pt>
                <c:pt idx="91">
                  <c:v>0.63</c:v>
                </c:pt>
                <c:pt idx="92">
                  <c:v>0.64</c:v>
                </c:pt>
                <c:pt idx="93">
                  <c:v>0.65</c:v>
                </c:pt>
                <c:pt idx="94">
                  <c:v>0.66</c:v>
                </c:pt>
                <c:pt idx="95">
                  <c:v>0.67</c:v>
                </c:pt>
                <c:pt idx="96">
                  <c:v>0.68</c:v>
                </c:pt>
                <c:pt idx="97">
                  <c:v>0.69</c:v>
                </c:pt>
                <c:pt idx="98">
                  <c:v>0.7</c:v>
                </c:pt>
                <c:pt idx="99">
                  <c:v>0.71</c:v>
                </c:pt>
                <c:pt idx="100">
                  <c:v>0.72</c:v>
                </c:pt>
                <c:pt idx="101">
                  <c:v>0.73</c:v>
                </c:pt>
                <c:pt idx="102">
                  <c:v>0.74</c:v>
                </c:pt>
                <c:pt idx="103">
                  <c:v>0.75</c:v>
                </c:pt>
                <c:pt idx="104">
                  <c:v>0.76</c:v>
                </c:pt>
                <c:pt idx="105">
                  <c:v>0.77</c:v>
                </c:pt>
                <c:pt idx="106">
                  <c:v>0.78</c:v>
                </c:pt>
                <c:pt idx="107">
                  <c:v>0.78200000000000003</c:v>
                </c:pt>
                <c:pt idx="108">
                  <c:v>0.78400000000000003</c:v>
                </c:pt>
                <c:pt idx="109">
                  <c:v>0.78600000000000003</c:v>
                </c:pt>
                <c:pt idx="110">
                  <c:v>0.78800000000000003</c:v>
                </c:pt>
                <c:pt idx="111">
                  <c:v>0.79</c:v>
                </c:pt>
              </c:numCache>
            </c:numRef>
          </c:xVal>
          <c:yVal>
            <c:numRef>
              <c:f>'実験3-SFDとBMD'!$E$8:$E$119</c:f>
              <c:numCache>
                <c:formatCode>General</c:formatCode>
                <c:ptCount val="112"/>
                <c:pt idx="0">
                  <c:v>0</c:v>
                </c:pt>
                <c:pt idx="1">
                  <c:v>-1.2760000000000001E-2</c:v>
                </c:pt>
                <c:pt idx="2">
                  <c:v>-2.5520000000000001E-2</c:v>
                </c:pt>
                <c:pt idx="3">
                  <c:v>-3.8280000000000002E-2</c:v>
                </c:pt>
                <c:pt idx="4">
                  <c:v>-5.1040000000000002E-2</c:v>
                </c:pt>
                <c:pt idx="5">
                  <c:v>-6.3799999999999996E-2</c:v>
                </c:pt>
                <c:pt idx="6">
                  <c:v>-0.12759999999999999</c:v>
                </c:pt>
                <c:pt idx="7">
                  <c:v>-0.19139999999999999</c:v>
                </c:pt>
                <c:pt idx="8">
                  <c:v>-0.25519999999999998</c:v>
                </c:pt>
                <c:pt idx="9">
                  <c:v>-0.31900000000000001</c:v>
                </c:pt>
                <c:pt idx="10">
                  <c:v>-0.38279999999999997</c:v>
                </c:pt>
                <c:pt idx="11">
                  <c:v>-0.44660000000000005</c:v>
                </c:pt>
                <c:pt idx="12">
                  <c:v>-0.51039999999999996</c:v>
                </c:pt>
                <c:pt idx="13">
                  <c:v>-0.57419999999999993</c:v>
                </c:pt>
                <c:pt idx="14">
                  <c:v>-0.63800000000000001</c:v>
                </c:pt>
                <c:pt idx="15">
                  <c:v>-0.70179999999999998</c:v>
                </c:pt>
                <c:pt idx="16">
                  <c:v>-0.76559999999999995</c:v>
                </c:pt>
                <c:pt idx="17">
                  <c:v>-0.82940000000000003</c:v>
                </c:pt>
                <c:pt idx="18">
                  <c:v>-0.8932000000000001</c:v>
                </c:pt>
                <c:pt idx="19">
                  <c:v>-0.95699999999999996</c:v>
                </c:pt>
                <c:pt idx="20">
                  <c:v>-1.0207999999999999</c:v>
                </c:pt>
                <c:pt idx="21">
                  <c:v>-1.0846</c:v>
                </c:pt>
                <c:pt idx="22">
                  <c:v>-1.1483999999999999</c:v>
                </c:pt>
                <c:pt idx="23">
                  <c:v>-1.16116</c:v>
                </c:pt>
                <c:pt idx="24">
                  <c:v>-1.1739199999999999</c:v>
                </c:pt>
                <c:pt idx="25">
                  <c:v>-1.18668</c:v>
                </c:pt>
                <c:pt idx="26">
                  <c:v>-1.1994400000000001</c:v>
                </c:pt>
                <c:pt idx="27">
                  <c:v>-1.2121999999999999</c:v>
                </c:pt>
                <c:pt idx="28">
                  <c:v>-1.1857600000000001</c:v>
                </c:pt>
                <c:pt idx="29">
                  <c:v>-1.1593200000000001</c:v>
                </c:pt>
                <c:pt idx="30">
                  <c:v>-1.1328800000000001</c:v>
                </c:pt>
                <c:pt idx="31">
                  <c:v>-1.1064400000000001</c:v>
                </c:pt>
                <c:pt idx="32">
                  <c:v>-1.08</c:v>
                </c:pt>
                <c:pt idx="33">
                  <c:v>-0.94779999999999998</c:v>
                </c:pt>
                <c:pt idx="34">
                  <c:v>-0.81559999999999988</c:v>
                </c:pt>
                <c:pt idx="35">
                  <c:v>-0.68339999999999979</c:v>
                </c:pt>
                <c:pt idx="36">
                  <c:v>-0.55120000000000013</c:v>
                </c:pt>
                <c:pt idx="37">
                  <c:v>-0.41900000000000004</c:v>
                </c:pt>
                <c:pt idx="38">
                  <c:v>-0.28679999999999994</c:v>
                </c:pt>
                <c:pt idx="39">
                  <c:v>-0.15459999999999985</c:v>
                </c:pt>
                <c:pt idx="40">
                  <c:v>-2.2399999999999753E-2</c:v>
                </c:pt>
                <c:pt idx="41">
                  <c:v>0.1097999999999999</c:v>
                </c:pt>
                <c:pt idx="42">
                  <c:v>0.24199999999999999</c:v>
                </c:pt>
                <c:pt idx="43">
                  <c:v>0.37420000000000009</c:v>
                </c:pt>
                <c:pt idx="44">
                  <c:v>0.50640000000000018</c:v>
                </c:pt>
                <c:pt idx="45">
                  <c:v>0.63860000000000028</c:v>
                </c:pt>
                <c:pt idx="46">
                  <c:v>0.77080000000000037</c:v>
                </c:pt>
                <c:pt idx="47">
                  <c:v>0.90299999999999958</c:v>
                </c:pt>
                <c:pt idx="48">
                  <c:v>1.0351999999999997</c:v>
                </c:pt>
                <c:pt idx="49">
                  <c:v>1.1673999999999998</c:v>
                </c:pt>
                <c:pt idx="50">
                  <c:v>1.2995999999999999</c:v>
                </c:pt>
                <c:pt idx="51">
                  <c:v>1.3260399999999999</c:v>
                </c:pt>
                <c:pt idx="52">
                  <c:v>1.3524799999999999</c:v>
                </c:pt>
                <c:pt idx="53">
                  <c:v>1.3789199999999999</c:v>
                </c:pt>
                <c:pt idx="54">
                  <c:v>1.4053599999999999</c:v>
                </c:pt>
                <c:pt idx="55">
                  <c:v>1.4318</c:v>
                </c:pt>
                <c:pt idx="56">
                  <c:v>1.40604</c:v>
                </c:pt>
                <c:pt idx="57">
                  <c:v>1.38028</c:v>
                </c:pt>
                <c:pt idx="58">
                  <c:v>1.3545199999999999</c:v>
                </c:pt>
                <c:pt idx="59">
                  <c:v>1.3287599999999991</c:v>
                </c:pt>
                <c:pt idx="60">
                  <c:v>1.302999999999999</c:v>
                </c:pt>
                <c:pt idx="61">
                  <c:v>1.1741999999999999</c:v>
                </c:pt>
                <c:pt idx="62">
                  <c:v>1.0453999999999999</c:v>
                </c:pt>
                <c:pt idx="63">
                  <c:v>0.91659999999999986</c:v>
                </c:pt>
                <c:pt idx="64">
                  <c:v>0.78779999999999983</c:v>
                </c:pt>
                <c:pt idx="65">
                  <c:v>0.65899999999999981</c:v>
                </c:pt>
                <c:pt idx="66">
                  <c:v>0.53019999999999978</c:v>
                </c:pt>
                <c:pt idx="67">
                  <c:v>0.40139999999999976</c:v>
                </c:pt>
                <c:pt idx="68">
                  <c:v>0.27259999999999973</c:v>
                </c:pt>
                <c:pt idx="69">
                  <c:v>0.14379999999999971</c:v>
                </c:pt>
                <c:pt idx="70">
                  <c:v>1.499999999999968E-2</c:v>
                </c:pt>
                <c:pt idx="71">
                  <c:v>-0.11380000000000035</c:v>
                </c:pt>
                <c:pt idx="72">
                  <c:v>-0.24260000000000037</c:v>
                </c:pt>
                <c:pt idx="73">
                  <c:v>-0.3714000000000004</c:v>
                </c:pt>
                <c:pt idx="74">
                  <c:v>-0.50020000000000042</c:v>
                </c:pt>
                <c:pt idx="75">
                  <c:v>-0.62900000000000134</c:v>
                </c:pt>
                <c:pt idx="76">
                  <c:v>-0.75780000000000136</c:v>
                </c:pt>
                <c:pt idx="77">
                  <c:v>-0.88659999999999961</c:v>
                </c:pt>
                <c:pt idx="78">
                  <c:v>-1.0153999999999996</c:v>
                </c:pt>
                <c:pt idx="79">
                  <c:v>-1.1441999999999997</c:v>
                </c:pt>
                <c:pt idx="80">
                  <c:v>-1.1699599999999997</c:v>
                </c:pt>
                <c:pt idx="81">
                  <c:v>-1.1957199999999997</c:v>
                </c:pt>
                <c:pt idx="82">
                  <c:v>-1.2214799999999997</c:v>
                </c:pt>
                <c:pt idx="83">
                  <c:v>-1.2472399999999997</c:v>
                </c:pt>
                <c:pt idx="84">
                  <c:v>-1.2729999999999997</c:v>
                </c:pt>
                <c:pt idx="85">
                  <c:v>-1.2595599999999996</c:v>
                </c:pt>
                <c:pt idx="86">
                  <c:v>-1.2461200000000003</c:v>
                </c:pt>
                <c:pt idx="87">
                  <c:v>-1.2326800000000002</c:v>
                </c:pt>
                <c:pt idx="88">
                  <c:v>-1.2192400000000001</c:v>
                </c:pt>
                <c:pt idx="89">
                  <c:v>-1.2058</c:v>
                </c:pt>
                <c:pt idx="90">
                  <c:v>-1.1386000000000003</c:v>
                </c:pt>
                <c:pt idx="91">
                  <c:v>-1.0713999999999997</c:v>
                </c:pt>
                <c:pt idx="92">
                  <c:v>-1.0042</c:v>
                </c:pt>
                <c:pt idx="93">
                  <c:v>-0.93699999999999939</c:v>
                </c:pt>
                <c:pt idx="94">
                  <c:v>-0.86979999999999968</c:v>
                </c:pt>
                <c:pt idx="95">
                  <c:v>-0.80259999999999998</c:v>
                </c:pt>
                <c:pt idx="96">
                  <c:v>-0.73539999999999939</c:v>
                </c:pt>
                <c:pt idx="97">
                  <c:v>-0.66820000000000057</c:v>
                </c:pt>
                <c:pt idx="98">
                  <c:v>-0.60099999999999998</c:v>
                </c:pt>
                <c:pt idx="99">
                  <c:v>-0.53380000000000027</c:v>
                </c:pt>
                <c:pt idx="100">
                  <c:v>-0.46659999999999968</c:v>
                </c:pt>
                <c:pt idx="101">
                  <c:v>-0.39939999999999998</c:v>
                </c:pt>
                <c:pt idx="102">
                  <c:v>-0.33220000000000027</c:v>
                </c:pt>
                <c:pt idx="103">
                  <c:v>-0.26499999999999968</c:v>
                </c:pt>
                <c:pt idx="104">
                  <c:v>-0.19779999999999998</c:v>
                </c:pt>
                <c:pt idx="105">
                  <c:v>-0.13059999999999938</c:v>
                </c:pt>
                <c:pt idx="106">
                  <c:v>-6.3399999999999679E-2</c:v>
                </c:pt>
                <c:pt idx="107">
                  <c:v>-4.995999999999956E-2</c:v>
                </c:pt>
                <c:pt idx="108">
                  <c:v>-3.6519999999999442E-2</c:v>
                </c:pt>
                <c:pt idx="109">
                  <c:v>-2.3079999999999323E-2</c:v>
                </c:pt>
                <c:pt idx="110">
                  <c:v>-9.6400000000000929E-3</c:v>
                </c:pt>
                <c:pt idx="111">
                  <c:v>3.8000000000000256E-3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0FC-45B2-A688-EBAF1541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69880"/>
        <c:axId val="372371448"/>
      </c:scatterChart>
      <c:valAx>
        <c:axId val="372369880"/>
        <c:scaling>
          <c:orientation val="minMax"/>
          <c:max val="0.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2473888438363799"/>
              <c:y val="0.91050925925925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372371448"/>
        <c:crosses val="autoZero"/>
        <c:crossBetween val="midCat"/>
      </c:valAx>
      <c:valAx>
        <c:axId val="37237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モーメント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M [N•m]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37236988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解析2!$C$25</c:f>
              <c:strCache>
                <c:ptCount val="1"/>
                <c:pt idx="0">
                  <c:v>孔径比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解析2!$C$26:$C$30</c:f>
              <c:numCache>
                <c:formatCode>0.000</c:formatCode>
                <c:ptCount val="5"/>
                <c:pt idx="0" formatCode="0.00">
                  <c:v>0.1</c:v>
                </c:pt>
                <c:pt idx="1">
                  <c:v>0.16666666666666669</c:v>
                </c:pt>
                <c:pt idx="2" formatCode="0.00">
                  <c:v>0.26666666666666666</c:v>
                </c:pt>
                <c:pt idx="3" formatCode="0.00">
                  <c:v>0.36666666666666664</c:v>
                </c:pt>
                <c:pt idx="4" formatCode="0.00">
                  <c:v>0.5</c:v>
                </c:pt>
              </c:numCache>
            </c:numRef>
          </c:xVal>
          <c:yVal>
            <c:numRef>
              <c:f>解析2!$B$26:$B$30</c:f>
              <c:numCache>
                <c:formatCode>General</c:formatCode>
                <c:ptCount val="5"/>
                <c:pt idx="0">
                  <c:v>2.62</c:v>
                </c:pt>
                <c:pt idx="1">
                  <c:v>2.48</c:v>
                </c:pt>
                <c:pt idx="2">
                  <c:v>2.3199999999999998</c:v>
                </c:pt>
                <c:pt idx="3">
                  <c:v>2.19</c:v>
                </c:pt>
                <c:pt idx="4">
                  <c:v>2.12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30480"/>
        <c:axId val="413831656"/>
      </c:scatterChart>
      <c:valAx>
        <c:axId val="4138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31656"/>
        <c:crosses val="autoZero"/>
        <c:crossBetween val="midCat"/>
      </c:valAx>
      <c:valAx>
        <c:axId val="41383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3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解析2!$C$32</c:f>
              <c:strCache>
                <c:ptCount val="1"/>
                <c:pt idx="0">
                  <c:v>要素数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解析2!$C$33:$C$36</c:f>
              <c:numCache>
                <c:formatCode>General</c:formatCode>
                <c:ptCount val="4"/>
                <c:pt idx="0">
                  <c:v>805</c:v>
                </c:pt>
                <c:pt idx="1">
                  <c:v>251</c:v>
                </c:pt>
                <c:pt idx="2">
                  <c:v>48</c:v>
                </c:pt>
                <c:pt idx="3">
                  <c:v>20</c:v>
                </c:pt>
              </c:numCache>
            </c:numRef>
          </c:xVal>
          <c:yVal>
            <c:numRef>
              <c:f>解析2!$B$33:$B$36</c:f>
              <c:numCache>
                <c:formatCode>0.00</c:formatCode>
                <c:ptCount val="4"/>
                <c:pt idx="0">
                  <c:v>2.2356666666666669</c:v>
                </c:pt>
                <c:pt idx="1">
                  <c:v>2.1850000000000001</c:v>
                </c:pt>
                <c:pt idx="2">
                  <c:v>2.121666666666667</c:v>
                </c:pt>
                <c:pt idx="3">
                  <c:v>2.1913333333333336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71384"/>
        <c:axId val="411570992"/>
      </c:scatterChart>
      <c:valAx>
        <c:axId val="41157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70992"/>
        <c:crosses val="autoZero"/>
        <c:crossBetween val="midCat"/>
      </c:valAx>
      <c:valAx>
        <c:axId val="411570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7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11</xdr:row>
      <xdr:rowOff>47624</xdr:rowOff>
    </xdr:from>
    <xdr:to>
      <xdr:col>7</xdr:col>
      <xdr:colOff>47625</xdr:colOff>
      <xdr:row>28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583406</xdr:colOff>
      <xdr:row>11</xdr:row>
      <xdr:rowOff>47624</xdr:rowOff>
    </xdr:from>
    <xdr:to>
      <xdr:col>15</xdr:col>
      <xdr:colOff>23812</xdr:colOff>
      <xdr:row>27</xdr:row>
      <xdr:rowOff>186928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38100</xdr:rowOff>
        </xdr:from>
        <xdr:to>
          <xdr:col>2</xdr:col>
          <xdr:colOff>885825</xdr:colOff>
          <xdr:row>31</xdr:row>
          <xdr:rowOff>123825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57150</xdr:rowOff>
        </xdr:from>
        <xdr:to>
          <xdr:col>2</xdr:col>
          <xdr:colOff>1123950</xdr:colOff>
          <xdr:row>13</xdr:row>
          <xdr:rowOff>161925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1</xdr:row>
      <xdr:rowOff>12700</xdr:rowOff>
    </xdr:from>
    <xdr:to>
      <xdr:col>11</xdr:col>
      <xdr:colOff>863600</xdr:colOff>
      <xdr:row>16</xdr:row>
      <xdr:rowOff>50800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</xdr:colOff>
      <xdr:row>16</xdr:row>
      <xdr:rowOff>222250</xdr:rowOff>
    </xdr:from>
    <xdr:to>
      <xdr:col>11</xdr:col>
      <xdr:colOff>850900</xdr:colOff>
      <xdr:row>28</xdr:row>
      <xdr:rowOff>222250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15</xdr:row>
      <xdr:rowOff>190499</xdr:rowOff>
    </xdr:from>
    <xdr:to>
      <xdr:col>13</xdr:col>
      <xdr:colOff>571500</xdr:colOff>
      <xdr:row>29</xdr:row>
      <xdr:rowOff>190499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571500</xdr:colOff>
      <xdr:row>31</xdr:row>
      <xdr:rowOff>0</xdr:rowOff>
    </xdr:from>
    <xdr:to>
      <xdr:col>14</xdr:col>
      <xdr:colOff>0</xdr:colOff>
      <xdr:row>43</xdr:row>
      <xdr:rowOff>142875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85725</xdr:rowOff>
        </xdr:from>
        <xdr:to>
          <xdr:col>3</xdr:col>
          <xdr:colOff>419100</xdr:colOff>
          <xdr:row>13</xdr:row>
          <xdr:rowOff>133350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5"/>
  <sheetViews>
    <sheetView zoomScale="91" zoomScaleNormal="91" workbookViewId="0">
      <selection activeCell="F7" sqref="F7"/>
    </sheetView>
  </sheetViews>
  <sheetFormatPr defaultColWidth="8.85546875" defaultRowHeight="15"/>
  <cols>
    <col min="1" max="2" width="8.85546875" style="40"/>
    <col min="3" max="3" width="24.85546875" style="40" customWidth="1"/>
    <col min="4" max="4" width="21.7109375" style="40" customWidth="1"/>
    <col min="5" max="5" width="13.140625" style="40" customWidth="1"/>
    <col min="6" max="6" width="16.140625" style="40" customWidth="1"/>
    <col min="7" max="7" width="8.85546875" style="40"/>
    <col min="8" max="8" width="16.140625" style="40" customWidth="1"/>
    <col min="9" max="9" width="8.85546875" style="40"/>
    <col min="10" max="10" width="14.28515625" style="40" customWidth="1"/>
    <col min="11" max="11" width="8.85546875" style="40"/>
    <col min="12" max="12" width="11.140625" style="40" customWidth="1"/>
    <col min="13" max="13" width="8.85546875" style="40"/>
    <col min="14" max="14" width="12" style="40" customWidth="1"/>
    <col min="15" max="16384" width="8.85546875" style="40"/>
  </cols>
  <sheetData>
    <row r="1" spans="1:10" ht="15.75" thickBot="1">
      <c r="A1" s="153" t="s">
        <v>61</v>
      </c>
      <c r="B1" s="154"/>
    </row>
    <row r="3" spans="1:10">
      <c r="B3" s="151" t="s">
        <v>55</v>
      </c>
      <c r="C3" s="48" t="s">
        <v>56</v>
      </c>
      <c r="D3" s="155" t="s">
        <v>64</v>
      </c>
      <c r="E3" s="156"/>
      <c r="F3" s="156"/>
      <c r="G3" s="156"/>
      <c r="H3" s="156"/>
      <c r="I3" s="156"/>
      <c r="J3" s="156"/>
    </row>
    <row r="4" spans="1:10">
      <c r="B4" s="151"/>
      <c r="C4" s="37" t="s">
        <v>63</v>
      </c>
      <c r="D4" s="156"/>
      <c r="E4" s="156"/>
      <c r="F4" s="156"/>
      <c r="G4" s="156"/>
      <c r="H4" s="156"/>
      <c r="I4" s="156"/>
      <c r="J4" s="156"/>
    </row>
    <row r="5" spans="1:10">
      <c r="B5" s="57"/>
      <c r="C5" s="68"/>
      <c r="D5" s="69"/>
      <c r="E5" s="69"/>
      <c r="F5" s="69"/>
      <c r="G5" s="69"/>
      <c r="H5" s="69"/>
      <c r="I5" s="69"/>
      <c r="J5" s="69"/>
    </row>
    <row r="6" spans="1:10">
      <c r="A6" s="146" t="s">
        <v>77</v>
      </c>
      <c r="B6" s="146"/>
      <c r="C6" s="68"/>
      <c r="D6" s="69"/>
      <c r="E6" s="69"/>
      <c r="F6" s="69"/>
      <c r="G6" s="69"/>
      <c r="H6" s="69"/>
      <c r="I6" s="69"/>
      <c r="J6" s="69"/>
    </row>
    <row r="7" spans="1:10">
      <c r="A7" s="68"/>
      <c r="B7" s="68" t="s">
        <v>84</v>
      </c>
      <c r="C7" s="68"/>
      <c r="D7" s="69"/>
      <c r="E7" s="69"/>
      <c r="F7" s="69"/>
      <c r="G7" s="69"/>
      <c r="H7" s="69"/>
      <c r="I7" s="69"/>
      <c r="J7" s="69"/>
    </row>
    <row r="8" spans="1:10" ht="15.75" thickBot="1">
      <c r="A8" s="36"/>
      <c r="B8" s="38" t="s">
        <v>78</v>
      </c>
      <c r="C8" s="38" t="s">
        <v>58</v>
      </c>
      <c r="D8" s="38" t="s">
        <v>80</v>
      </c>
      <c r="E8" s="69"/>
      <c r="F8" s="69"/>
      <c r="G8" s="69"/>
      <c r="H8" s="69"/>
      <c r="I8" s="69"/>
      <c r="J8" s="69"/>
    </row>
    <row r="9" spans="1:10" ht="15.75" thickTop="1">
      <c r="B9" s="39" t="s">
        <v>79</v>
      </c>
      <c r="C9" s="34">
        <v>207</v>
      </c>
      <c r="D9" s="34">
        <v>0.3</v>
      </c>
      <c r="E9" s="69"/>
      <c r="F9" s="69"/>
      <c r="G9" s="69"/>
      <c r="H9" s="69"/>
      <c r="I9" s="69"/>
      <c r="J9" s="69"/>
    </row>
    <row r="10" spans="1:10">
      <c r="B10" s="143" t="s">
        <v>85</v>
      </c>
      <c r="C10" s="143"/>
      <c r="D10" s="143"/>
      <c r="E10" s="69"/>
      <c r="F10" s="69"/>
      <c r="G10" s="69"/>
      <c r="H10" s="69"/>
      <c r="I10" s="69"/>
      <c r="J10" s="69"/>
    </row>
    <row r="11" spans="1:10" ht="15.75" thickBot="1">
      <c r="B11" s="38" t="s">
        <v>78</v>
      </c>
      <c r="C11" s="38" t="s">
        <v>58</v>
      </c>
      <c r="D11" s="38" t="s">
        <v>80</v>
      </c>
      <c r="E11" s="69"/>
      <c r="F11" s="69"/>
      <c r="G11" s="69"/>
      <c r="H11" s="69"/>
      <c r="I11" s="69"/>
      <c r="J11" s="69"/>
    </row>
    <row r="12" spans="1:10" ht="15.75" thickTop="1">
      <c r="B12" s="39" t="s">
        <v>79</v>
      </c>
      <c r="C12" s="34">
        <v>206</v>
      </c>
      <c r="D12" s="34">
        <v>0.3</v>
      </c>
      <c r="E12" s="69"/>
      <c r="F12" s="69"/>
      <c r="G12" s="69"/>
      <c r="H12" s="69"/>
      <c r="I12" s="69"/>
      <c r="J12" s="69"/>
    </row>
    <row r="13" spans="1:10">
      <c r="B13" s="143" t="s">
        <v>118</v>
      </c>
      <c r="C13" s="143"/>
      <c r="D13" s="143"/>
      <c r="E13" s="69"/>
      <c r="F13" s="69"/>
      <c r="G13" s="69"/>
      <c r="H13" s="69"/>
      <c r="I13" s="69"/>
      <c r="J13" s="69"/>
    </row>
    <row r="14" spans="1:10" ht="15.75" thickBot="1">
      <c r="B14" s="38" t="s">
        <v>78</v>
      </c>
      <c r="C14" s="38" t="s">
        <v>58</v>
      </c>
      <c r="D14" s="38" t="s">
        <v>80</v>
      </c>
      <c r="E14" s="69"/>
      <c r="F14" s="69"/>
      <c r="G14" s="69"/>
      <c r="H14" s="69"/>
      <c r="I14" s="69"/>
      <c r="J14" s="69"/>
    </row>
    <row r="15" spans="1:10" ht="15.75" thickTop="1">
      <c r="B15" s="39" t="s">
        <v>79</v>
      </c>
      <c r="C15" s="34">
        <v>206</v>
      </c>
      <c r="D15" s="34">
        <v>0.3</v>
      </c>
      <c r="E15" s="69"/>
      <c r="F15" s="69"/>
      <c r="G15" s="69"/>
      <c r="H15" s="69"/>
      <c r="I15" s="69"/>
      <c r="J15" s="69"/>
    </row>
    <row r="16" spans="1:10">
      <c r="B16" s="57"/>
      <c r="C16" s="68"/>
      <c r="D16" s="69"/>
      <c r="E16" s="69"/>
      <c r="F16" s="69"/>
      <c r="G16" s="69"/>
      <c r="H16" s="69"/>
      <c r="I16" s="69"/>
      <c r="J16" s="69"/>
    </row>
    <row r="17" spans="1:14">
      <c r="A17" s="142" t="s">
        <v>86</v>
      </c>
      <c r="B17" s="142"/>
      <c r="C17" s="68"/>
      <c r="D17" s="69"/>
      <c r="E17" s="69"/>
      <c r="F17" s="69"/>
      <c r="G17" s="69"/>
      <c r="H17" s="69"/>
      <c r="I17" s="69"/>
      <c r="J17" s="69"/>
    </row>
    <row r="18" spans="1:14" ht="15.75" thickBot="1">
      <c r="B18" s="1" t="s">
        <v>87</v>
      </c>
      <c r="C18" s="89" t="s">
        <v>98</v>
      </c>
      <c r="D18" s="90" t="s">
        <v>89</v>
      </c>
      <c r="E18" s="90" t="s">
        <v>90</v>
      </c>
      <c r="F18" s="69"/>
      <c r="G18" s="69"/>
      <c r="H18" s="69"/>
      <c r="I18" s="69"/>
      <c r="J18" s="69"/>
    </row>
    <row r="19" spans="1:14" ht="15.75" thickTop="1">
      <c r="B19" s="2"/>
      <c r="C19" s="56">
        <v>0.5</v>
      </c>
      <c r="D19" s="91">
        <f>'実験1-荷重とたわみの測定結果'!D8</f>
        <v>30.289000000000001</v>
      </c>
      <c r="E19" s="91">
        <f>'実験1-荷重とたわみの測定結果'!E8</f>
        <v>30.283999999999999</v>
      </c>
      <c r="F19" s="69"/>
      <c r="G19" s="69"/>
      <c r="H19" s="69"/>
      <c r="I19" s="69"/>
      <c r="J19" s="69"/>
    </row>
    <row r="20" spans="1:14">
      <c r="B20" s="57"/>
      <c r="C20" s="68"/>
      <c r="D20" s="69"/>
      <c r="E20" s="69"/>
      <c r="F20" s="69"/>
      <c r="G20" s="69"/>
      <c r="H20" s="69"/>
      <c r="I20" s="69"/>
      <c r="J20" s="69"/>
    </row>
    <row r="21" spans="1:14">
      <c r="A21" s="150" t="s">
        <v>50</v>
      </c>
      <c r="B21" s="150"/>
      <c r="C21" s="150"/>
      <c r="D21" s="69"/>
      <c r="E21" s="69"/>
      <c r="F21" s="69"/>
      <c r="G21" s="69"/>
      <c r="H21" s="69"/>
      <c r="I21" s="69"/>
      <c r="J21" s="69"/>
    </row>
    <row r="22" spans="1:14">
      <c r="B22" s="41"/>
      <c r="C22" s="144" t="s">
        <v>71</v>
      </c>
      <c r="D22" s="145"/>
      <c r="E22" s="144" t="s">
        <v>74</v>
      </c>
      <c r="F22" s="145"/>
      <c r="G22" s="144" t="s">
        <v>75</v>
      </c>
      <c r="H22" s="145"/>
      <c r="I22" s="144" t="s">
        <v>76</v>
      </c>
      <c r="J22" s="145"/>
      <c r="K22" s="144" t="s">
        <v>72</v>
      </c>
      <c r="L22" s="145"/>
      <c r="M22" s="144" t="s">
        <v>73</v>
      </c>
      <c r="N22" s="145"/>
    </row>
    <row r="23" spans="1:14" ht="15.75" thickBot="1">
      <c r="B23" s="1" t="s">
        <v>0</v>
      </c>
      <c r="C23" s="1" t="s">
        <v>1</v>
      </c>
      <c r="D23" s="1" t="s">
        <v>2</v>
      </c>
      <c r="E23" s="1" t="s">
        <v>1</v>
      </c>
      <c r="F23" s="1" t="s">
        <v>2</v>
      </c>
      <c r="G23" s="1" t="s">
        <v>1</v>
      </c>
      <c r="H23" s="1" t="s">
        <v>2</v>
      </c>
      <c r="I23" s="1" t="s">
        <v>1</v>
      </c>
      <c r="J23" s="1" t="s">
        <v>2</v>
      </c>
      <c r="K23" s="1" t="s">
        <v>1</v>
      </c>
      <c r="L23" s="1" t="s">
        <v>2</v>
      </c>
      <c r="M23" s="1" t="s">
        <v>1</v>
      </c>
      <c r="N23" s="1" t="s">
        <v>2</v>
      </c>
    </row>
    <row r="24" spans="1:14" ht="15.75" thickTop="1">
      <c r="B24" s="2">
        <v>1</v>
      </c>
      <c r="C24" s="34">
        <v>20</v>
      </c>
      <c r="D24" s="34">
        <v>5.94</v>
      </c>
      <c r="E24" s="34">
        <v>21.9</v>
      </c>
      <c r="F24" s="34">
        <v>5.94</v>
      </c>
      <c r="G24" s="34">
        <v>21.9</v>
      </c>
      <c r="H24" s="34">
        <v>5.94</v>
      </c>
      <c r="I24" s="34">
        <v>21.9</v>
      </c>
      <c r="J24" s="34">
        <v>5</v>
      </c>
      <c r="K24" s="70">
        <f>AVERAGE(C24,E24,G24,I24)</f>
        <v>21.424999999999997</v>
      </c>
      <c r="L24" s="70">
        <f>AVERAGE(D24,F24,H24,J24)</f>
        <v>5.7050000000000001</v>
      </c>
      <c r="M24" s="70">
        <f t="shared" ref="M24:N26" si="0">_xlfn.VAR.S(C24,E24,G24,I24)</f>
        <v>0.90249999999999853</v>
      </c>
      <c r="N24" s="70">
        <f t="shared" si="0"/>
        <v>0.22090000000000018</v>
      </c>
    </row>
    <row r="25" spans="1:14">
      <c r="B25" s="3">
        <v>2</v>
      </c>
      <c r="C25" s="35">
        <v>31.88</v>
      </c>
      <c r="D25" s="35">
        <v>4.9400000000000004</v>
      </c>
      <c r="E25" s="35">
        <v>31.88</v>
      </c>
      <c r="F25" s="35">
        <v>4.9400000000000004</v>
      </c>
      <c r="G25" s="73">
        <v>31.88</v>
      </c>
      <c r="H25" s="35">
        <v>4.9400000000000004</v>
      </c>
      <c r="I25" s="35">
        <v>31.88</v>
      </c>
      <c r="J25" s="35">
        <v>4.9400000000000004</v>
      </c>
      <c r="K25" s="70">
        <f t="shared" ref="K25:K26" si="1">AVERAGE(C25,E25,G25,I25)</f>
        <v>31.88</v>
      </c>
      <c r="L25" s="70">
        <f t="shared" ref="L25:L26" si="2">AVERAGE(D25,F25,H25,J25)</f>
        <v>4.9400000000000004</v>
      </c>
      <c r="M25" s="70">
        <f t="shared" si="0"/>
        <v>0</v>
      </c>
      <c r="N25" s="70">
        <f t="shared" si="0"/>
        <v>0</v>
      </c>
    </row>
    <row r="26" spans="1:14">
      <c r="B26" s="3">
        <v>3</v>
      </c>
      <c r="C26" s="35">
        <v>31.9</v>
      </c>
      <c r="D26" s="35">
        <v>4.9400000000000004</v>
      </c>
      <c r="E26" s="35">
        <v>31.9</v>
      </c>
      <c r="F26" s="35">
        <v>4.95</v>
      </c>
      <c r="G26" s="35">
        <v>31.9</v>
      </c>
      <c r="H26" s="35">
        <v>4.95</v>
      </c>
      <c r="I26" s="35">
        <v>31.2</v>
      </c>
      <c r="J26" s="35">
        <v>4</v>
      </c>
      <c r="K26" s="70">
        <f t="shared" si="1"/>
        <v>31.724999999999998</v>
      </c>
      <c r="L26" s="70">
        <f t="shared" si="2"/>
        <v>4.71</v>
      </c>
      <c r="M26" s="70">
        <f t="shared" si="0"/>
        <v>0.12249999999999976</v>
      </c>
      <c r="N26" s="70">
        <f t="shared" si="0"/>
        <v>0.22406666666666678</v>
      </c>
    </row>
    <row r="28" spans="1:14">
      <c r="A28" s="150" t="s">
        <v>50</v>
      </c>
      <c r="B28" s="150"/>
      <c r="C28" s="150"/>
    </row>
    <row r="29" spans="1:14">
      <c r="B29" s="41"/>
      <c r="C29" s="149" t="s">
        <v>51</v>
      </c>
      <c r="D29" s="145"/>
      <c r="E29" s="149" t="s">
        <v>52</v>
      </c>
      <c r="F29" s="145"/>
      <c r="G29" s="151" t="s">
        <v>53</v>
      </c>
      <c r="H29" s="151"/>
      <c r="I29" s="149" t="s">
        <v>54</v>
      </c>
      <c r="J29" s="145"/>
    </row>
    <row r="30" spans="1:14" ht="15.75" thickBot="1">
      <c r="B30" s="1" t="s">
        <v>0</v>
      </c>
      <c r="C30" s="1" t="s">
        <v>1</v>
      </c>
      <c r="D30" s="1" t="s">
        <v>2</v>
      </c>
      <c r="E30" s="1" t="s">
        <v>1</v>
      </c>
      <c r="F30" s="1" t="s">
        <v>2</v>
      </c>
      <c r="G30" s="1" t="s">
        <v>1</v>
      </c>
      <c r="H30" s="1" t="s">
        <v>2</v>
      </c>
      <c r="I30" s="1" t="s">
        <v>1</v>
      </c>
      <c r="J30" s="1" t="s">
        <v>2</v>
      </c>
    </row>
    <row r="31" spans="1:14" ht="15.75" thickTop="1">
      <c r="B31" s="2">
        <v>1</v>
      </c>
      <c r="C31" s="70">
        <f>K24</f>
        <v>21.424999999999997</v>
      </c>
      <c r="D31" s="70">
        <f>L24</f>
        <v>5.7050000000000001</v>
      </c>
      <c r="E31" s="71">
        <v>20</v>
      </c>
      <c r="F31" s="72">
        <v>6</v>
      </c>
      <c r="G31" s="42">
        <f>C31-E31</f>
        <v>1.4249999999999972</v>
      </c>
      <c r="H31" s="43">
        <f>D31-F31</f>
        <v>-0.29499999999999993</v>
      </c>
      <c r="I31" s="44">
        <f>G31/E31</f>
        <v>7.1249999999999855E-2</v>
      </c>
      <c r="J31" s="44">
        <f>H31/F31</f>
        <v>-4.9166666666666657E-2</v>
      </c>
    </row>
    <row r="32" spans="1:14">
      <c r="B32" s="3">
        <v>2</v>
      </c>
      <c r="C32" s="29">
        <f>K25</f>
        <v>31.88</v>
      </c>
      <c r="D32" s="70">
        <f t="shared" ref="D32:D33" si="3">L25</f>
        <v>4.9400000000000004</v>
      </c>
      <c r="E32" s="73">
        <v>32</v>
      </c>
      <c r="F32" s="74">
        <v>5</v>
      </c>
      <c r="G32" s="45">
        <f t="shared" ref="G32:G33" si="4">C32-E32</f>
        <v>-0.12000000000000099</v>
      </c>
      <c r="H32" s="46">
        <f t="shared" ref="H32:H33" si="5">D32-F32</f>
        <v>-5.9999999999999609E-2</v>
      </c>
      <c r="I32" s="47">
        <f t="shared" ref="I32:I33" si="6">G32/E32</f>
        <v>-3.7500000000000311E-3</v>
      </c>
      <c r="J32" s="47">
        <f t="shared" ref="J32:J33" si="7">H32/F32</f>
        <v>-1.1999999999999922E-2</v>
      </c>
    </row>
    <row r="33" spans="1:13">
      <c r="B33" s="3">
        <v>3</v>
      </c>
      <c r="C33" s="29">
        <f>K26</f>
        <v>31.724999999999998</v>
      </c>
      <c r="D33" s="70">
        <f t="shared" si="3"/>
        <v>4.71</v>
      </c>
      <c r="E33" s="73">
        <v>32</v>
      </c>
      <c r="F33" s="74">
        <v>5</v>
      </c>
      <c r="G33" s="45">
        <f t="shared" si="4"/>
        <v>-0.27500000000000213</v>
      </c>
      <c r="H33" s="46">
        <f t="shared" si="5"/>
        <v>-0.29000000000000004</v>
      </c>
      <c r="I33" s="47">
        <f t="shared" si="6"/>
        <v>-8.5937500000000666E-3</v>
      </c>
      <c r="J33" s="47">
        <f t="shared" si="7"/>
        <v>-5.800000000000001E-2</v>
      </c>
    </row>
    <row r="34" spans="1:13">
      <c r="M34" s="53"/>
    </row>
    <row r="35" spans="1:13">
      <c r="A35" s="146" t="s">
        <v>59</v>
      </c>
      <c r="B35" s="150"/>
      <c r="C35" s="150"/>
    </row>
    <row r="36" spans="1:13" ht="18.75" customHeight="1">
      <c r="B36" s="40" t="s">
        <v>82</v>
      </c>
    </row>
    <row r="37" spans="1:13">
      <c r="B37" s="41"/>
      <c r="C37" s="144" t="s">
        <v>48</v>
      </c>
      <c r="D37" s="145"/>
      <c r="E37" s="149" t="s">
        <v>52</v>
      </c>
      <c r="F37" s="145"/>
      <c r="G37" s="149" t="s">
        <v>53</v>
      </c>
      <c r="H37" s="145"/>
      <c r="I37" s="149" t="s">
        <v>54</v>
      </c>
      <c r="J37" s="145"/>
    </row>
    <row r="38" spans="1:13" ht="18.75" thickBot="1">
      <c r="B38" s="1" t="s">
        <v>0</v>
      </c>
      <c r="C38" s="1" t="s">
        <v>57</v>
      </c>
      <c r="D38" s="38" t="s">
        <v>88</v>
      </c>
      <c r="E38" s="1" t="s">
        <v>57</v>
      </c>
      <c r="F38" s="38" t="s">
        <v>88</v>
      </c>
      <c r="G38" s="1" t="s">
        <v>57</v>
      </c>
      <c r="H38" s="38" t="s">
        <v>88</v>
      </c>
      <c r="I38" s="1" t="s">
        <v>57</v>
      </c>
      <c r="J38" s="38" t="s">
        <v>88</v>
      </c>
    </row>
    <row r="39" spans="1:13" ht="15.75" thickTop="1">
      <c r="B39" s="2">
        <v>1</v>
      </c>
      <c r="C39" s="52">
        <f>(C31*(D31^3))/12</f>
        <v>331.51755505130205</v>
      </c>
      <c r="D39" s="75">
        <f>($D$19*(10^3)*($C$19^3)/(48*(C39*(10^(-12)))))/(10^9)</f>
        <v>237.92889083795407</v>
      </c>
      <c r="E39" s="75">
        <f>(E31*(F31^3))/12</f>
        <v>360</v>
      </c>
      <c r="F39" s="51">
        <f>$C$9</f>
        <v>207</v>
      </c>
      <c r="G39" s="76">
        <f>C39-E39</f>
        <v>-28.482444948697946</v>
      </c>
      <c r="H39" s="77">
        <f>D39-F39</f>
        <v>30.928890837954071</v>
      </c>
      <c r="I39" s="44">
        <f>G39/E39</f>
        <v>-7.9117902635272075E-2</v>
      </c>
      <c r="J39" s="44">
        <f>H39/F39</f>
        <v>0.14941493158431918</v>
      </c>
    </row>
    <row r="40" spans="1:13">
      <c r="A40" s="49"/>
      <c r="B40" s="2">
        <v>2</v>
      </c>
      <c r="C40" s="52">
        <f>(C32*(D32^3))/12</f>
        <v>320.27121949333343</v>
      </c>
      <c r="D40" s="75">
        <f t="shared" ref="D40:D41" si="8">($D$19*(10^3)*($C$19^3)/(48*(C40*(10^(-12)))))/(10^9)</f>
        <v>246.28377252083538</v>
      </c>
      <c r="E40" s="75">
        <f>(E32*(F32^3))/12</f>
        <v>333.33333333333331</v>
      </c>
      <c r="F40" s="33">
        <f t="shared" ref="F40:F41" si="9">$C$9</f>
        <v>207</v>
      </c>
      <c r="G40" s="76">
        <f t="shared" ref="G40:G41" si="10">C40-E40</f>
        <v>-13.062113839999881</v>
      </c>
      <c r="H40" s="77">
        <f t="shared" ref="H40:H41" si="11">D40-F40</f>
        <v>39.283772520835385</v>
      </c>
      <c r="I40" s="44">
        <f t="shared" ref="I40:I41" si="12">G40/E40</f>
        <v>-3.9186341519999647E-2</v>
      </c>
      <c r="J40" s="44">
        <f t="shared" ref="J40:J41" si="13">H40/F40</f>
        <v>0.18977667884461538</v>
      </c>
    </row>
    <row r="41" spans="1:13">
      <c r="A41" s="50"/>
      <c r="B41" s="2">
        <v>3</v>
      </c>
      <c r="C41" s="52">
        <f>(C33*(D33^3))/12</f>
        <v>276.23779970624997</v>
      </c>
      <c r="D41" s="75">
        <f t="shared" si="8"/>
        <v>285.54239952151647</v>
      </c>
      <c r="E41" s="75">
        <f>(E33*(F33^3))/12</f>
        <v>333.33333333333331</v>
      </c>
      <c r="F41" s="33">
        <f t="shared" si="9"/>
        <v>207</v>
      </c>
      <c r="G41" s="76">
        <f t="shared" si="10"/>
        <v>-57.095533627083341</v>
      </c>
      <c r="H41" s="77">
        <f t="shared" si="11"/>
        <v>78.542399521516472</v>
      </c>
      <c r="I41" s="44">
        <f t="shared" si="12"/>
        <v>-0.17128660088125003</v>
      </c>
      <c r="J41" s="44">
        <f t="shared" si="13"/>
        <v>0.37943188174645637</v>
      </c>
    </row>
    <row r="42" spans="1:13">
      <c r="A42" s="49"/>
      <c r="B42" s="40" t="s">
        <v>83</v>
      </c>
      <c r="C42" s="49"/>
    </row>
    <row r="43" spans="1:13">
      <c r="A43" s="49"/>
      <c r="B43" s="41"/>
      <c r="C43" s="144" t="s">
        <v>33</v>
      </c>
      <c r="D43" s="145"/>
      <c r="E43" s="149" t="s">
        <v>52</v>
      </c>
      <c r="F43" s="145"/>
      <c r="G43" s="149" t="s">
        <v>53</v>
      </c>
      <c r="H43" s="145"/>
      <c r="I43" s="149" t="s">
        <v>54</v>
      </c>
      <c r="J43" s="145"/>
    </row>
    <row r="44" spans="1:13" ht="18.75" thickBot="1">
      <c r="A44" s="49"/>
      <c r="B44" s="1" t="s">
        <v>0</v>
      </c>
      <c r="C44" s="1" t="s">
        <v>57</v>
      </c>
      <c r="D44" s="38" t="s">
        <v>58</v>
      </c>
      <c r="E44" s="1" t="s">
        <v>57</v>
      </c>
      <c r="F44" s="38" t="s">
        <v>58</v>
      </c>
      <c r="G44" s="1" t="s">
        <v>57</v>
      </c>
      <c r="H44" s="38" t="s">
        <v>58</v>
      </c>
      <c r="I44" s="1" t="s">
        <v>57</v>
      </c>
      <c r="J44" s="38" t="s">
        <v>58</v>
      </c>
    </row>
    <row r="45" spans="1:13" ht="15.75" thickTop="1">
      <c r="A45" s="49"/>
      <c r="B45" s="2">
        <v>1</v>
      </c>
      <c r="C45" s="52">
        <f>C39</f>
        <v>331.51755505130205</v>
      </c>
      <c r="D45" s="75">
        <f>($E$19*(10^3)*($C$19^3)/(48*(C45*(10^(-12)))))/(10^9)</f>
        <v>237.88961438596854</v>
      </c>
      <c r="E45" s="75">
        <f>E39</f>
        <v>360</v>
      </c>
      <c r="F45" s="51">
        <f>$C$9</f>
        <v>207</v>
      </c>
      <c r="G45" s="76">
        <f>C45-E45</f>
        <v>-28.482444948697946</v>
      </c>
      <c r="H45" s="77">
        <f>D45-F45</f>
        <v>30.889614385968542</v>
      </c>
      <c r="I45" s="44">
        <f>G45/E45</f>
        <v>-7.9117902635272075E-2</v>
      </c>
      <c r="J45" s="44">
        <f>H45/F45</f>
        <v>0.14922519027037942</v>
      </c>
    </row>
    <row r="46" spans="1:13">
      <c r="A46" s="49"/>
      <c r="B46" s="2">
        <v>2</v>
      </c>
      <c r="C46" s="52">
        <f t="shared" ref="C46:C47" si="14">C40</f>
        <v>320.27121949333343</v>
      </c>
      <c r="D46" s="75">
        <f t="shared" ref="D46:D47" si="15">($E$19*(10^3)*($C$19^3)/(48*(C46*(10^(-12)))))/(10^9)</f>
        <v>246.24311687480534</v>
      </c>
      <c r="E46" s="75">
        <f t="shared" ref="E46:E47" si="16">E40</f>
        <v>333.33333333333331</v>
      </c>
      <c r="F46" s="33">
        <f t="shared" ref="F46:F47" si="17">$C$9</f>
        <v>207</v>
      </c>
      <c r="G46" s="76">
        <f t="shared" ref="G46:G47" si="18">C46-E46</f>
        <v>-13.062113839999881</v>
      </c>
      <c r="H46" s="77">
        <f t="shared" ref="H46:H47" si="19">D46-F46</f>
        <v>39.243116874805338</v>
      </c>
      <c r="I46" s="44">
        <f t="shared" ref="I46:I47" si="20">G46/E46</f>
        <v>-3.9186341519999647E-2</v>
      </c>
      <c r="J46" s="44">
        <f t="shared" ref="J46:J47" si="21">H46/F46</f>
        <v>0.18958027475751371</v>
      </c>
    </row>
    <row r="47" spans="1:13">
      <c r="A47" s="49"/>
      <c r="B47" s="2">
        <v>3</v>
      </c>
      <c r="C47" s="52">
        <f t="shared" si="14"/>
        <v>276.23779970624997</v>
      </c>
      <c r="D47" s="75">
        <f t="shared" si="15"/>
        <v>285.49526320147925</v>
      </c>
      <c r="E47" s="75">
        <f t="shared" si="16"/>
        <v>333.33333333333331</v>
      </c>
      <c r="F47" s="33">
        <f t="shared" si="17"/>
        <v>207</v>
      </c>
      <c r="G47" s="76">
        <f t="shared" si="18"/>
        <v>-57.095533627083341</v>
      </c>
      <c r="H47" s="77">
        <f t="shared" si="19"/>
        <v>78.495263201479247</v>
      </c>
      <c r="I47" s="44">
        <f t="shared" si="20"/>
        <v>-0.17128660088125003</v>
      </c>
      <c r="J47" s="44">
        <f t="shared" si="21"/>
        <v>0.37920417005545531</v>
      </c>
    </row>
    <row r="48" spans="1:13">
      <c r="A48" s="49"/>
      <c r="B48" s="57"/>
      <c r="C48" s="80"/>
      <c r="D48" s="81"/>
      <c r="E48" s="59"/>
      <c r="F48" s="59"/>
      <c r="G48" s="82"/>
      <c r="H48" s="83"/>
      <c r="I48" s="84"/>
      <c r="J48" s="84"/>
    </row>
    <row r="49" spans="1:10">
      <c r="A49" s="146" t="s">
        <v>60</v>
      </c>
      <c r="B49" s="146"/>
    </row>
    <row r="50" spans="1:10">
      <c r="B50" s="36" t="s">
        <v>67</v>
      </c>
    </row>
    <row r="51" spans="1:10" ht="15.75" thickBot="1">
      <c r="B51" s="1" t="s">
        <v>0</v>
      </c>
      <c r="C51" s="1" t="s">
        <v>68</v>
      </c>
      <c r="D51" s="1" t="s">
        <v>69</v>
      </c>
    </row>
    <row r="52" spans="1:10" ht="15.75" thickTop="1">
      <c r="B52" s="2">
        <v>1</v>
      </c>
      <c r="C52" s="56"/>
      <c r="D52" s="56"/>
    </row>
    <row r="53" spans="1:10">
      <c r="B53" s="2">
        <v>2</v>
      </c>
      <c r="C53" s="48"/>
      <c r="D53" s="48"/>
    </row>
    <row r="54" spans="1:10">
      <c r="B54" s="3">
        <v>3</v>
      </c>
      <c r="C54" s="48"/>
      <c r="D54" s="48"/>
    </row>
    <row r="55" spans="1:10">
      <c r="B55" s="36" t="s">
        <v>66</v>
      </c>
    </row>
    <row r="56" spans="1:10">
      <c r="B56" s="41"/>
      <c r="C56" s="148" t="s">
        <v>62</v>
      </c>
      <c r="D56" s="148"/>
      <c r="E56" s="149" t="s">
        <v>52</v>
      </c>
      <c r="F56" s="145"/>
      <c r="G56" s="151" t="s">
        <v>53</v>
      </c>
      <c r="H56" s="151"/>
      <c r="I56" s="149" t="s">
        <v>54</v>
      </c>
      <c r="J56" s="145"/>
    </row>
    <row r="57" spans="1:10" ht="15.75" thickBot="1">
      <c r="B57" s="1" t="s">
        <v>0</v>
      </c>
      <c r="C57" s="1" t="s">
        <v>1</v>
      </c>
      <c r="D57" s="1" t="s">
        <v>2</v>
      </c>
      <c r="E57" s="1" t="s">
        <v>1</v>
      </c>
      <c r="F57" s="1" t="s">
        <v>2</v>
      </c>
      <c r="G57" s="1" t="s">
        <v>1</v>
      </c>
      <c r="H57" s="1" t="s">
        <v>2</v>
      </c>
      <c r="I57" s="1" t="s">
        <v>1</v>
      </c>
      <c r="J57" s="1" t="s">
        <v>2</v>
      </c>
    </row>
    <row r="58" spans="1:10" ht="15.75" thickTop="1">
      <c r="B58" s="2">
        <v>1</v>
      </c>
      <c r="C58" s="54"/>
      <c r="D58" s="54"/>
      <c r="E58" s="30">
        <v>20</v>
      </c>
      <c r="F58" s="32">
        <v>6</v>
      </c>
      <c r="G58" s="42">
        <f>C58-E58</f>
        <v>-20</v>
      </c>
      <c r="H58" s="43">
        <f>D58-F58</f>
        <v>-6</v>
      </c>
      <c r="I58" s="44">
        <f>G58/E58</f>
        <v>-1</v>
      </c>
      <c r="J58" s="44">
        <f>H58/F58</f>
        <v>-1</v>
      </c>
    </row>
    <row r="59" spans="1:10">
      <c r="B59" s="2">
        <v>2</v>
      </c>
      <c r="C59" s="55"/>
      <c r="D59" s="55"/>
      <c r="E59" s="31">
        <v>32</v>
      </c>
      <c r="F59" s="33">
        <v>5</v>
      </c>
      <c r="G59" s="45">
        <f t="shared" ref="G59:G60" si="22">C59-E59</f>
        <v>-32</v>
      </c>
      <c r="H59" s="46">
        <f t="shared" ref="H59:H60" si="23">D59-F59</f>
        <v>-5</v>
      </c>
      <c r="I59" s="47">
        <f t="shared" ref="I59:I60" si="24">G59/E59</f>
        <v>-1</v>
      </c>
      <c r="J59" s="47">
        <f t="shared" ref="J59:J60" si="25">H59/F59</f>
        <v>-1</v>
      </c>
    </row>
    <row r="60" spans="1:10">
      <c r="B60" s="3">
        <v>3</v>
      </c>
      <c r="C60" s="55"/>
      <c r="D60" s="55"/>
      <c r="E60" s="31">
        <v>32</v>
      </c>
      <c r="F60" s="33">
        <v>5</v>
      </c>
      <c r="G60" s="45">
        <f t="shared" si="22"/>
        <v>-32</v>
      </c>
      <c r="H60" s="46">
        <f t="shared" si="23"/>
        <v>-5</v>
      </c>
      <c r="I60" s="47">
        <f t="shared" si="24"/>
        <v>-1</v>
      </c>
      <c r="J60" s="47">
        <f t="shared" si="25"/>
        <v>-1</v>
      </c>
    </row>
    <row r="61" spans="1:10">
      <c r="B61" s="147" t="s">
        <v>49</v>
      </c>
      <c r="C61" s="147"/>
      <c r="D61" s="67"/>
      <c r="E61" s="61"/>
      <c r="F61" s="62"/>
      <c r="G61" s="63"/>
      <c r="H61" s="64"/>
      <c r="I61" s="65"/>
      <c r="J61" s="66"/>
    </row>
    <row r="62" spans="1:10">
      <c r="B62" s="41"/>
      <c r="C62" s="148" t="s">
        <v>62</v>
      </c>
      <c r="D62" s="148"/>
      <c r="E62" s="149" t="s">
        <v>52</v>
      </c>
      <c r="F62" s="145"/>
      <c r="G62" s="149" t="s">
        <v>53</v>
      </c>
      <c r="H62" s="145"/>
      <c r="I62" s="149" t="s">
        <v>54</v>
      </c>
      <c r="J62" s="145"/>
    </row>
    <row r="63" spans="1:10" ht="18.75" thickBot="1">
      <c r="B63" s="1" t="s">
        <v>0</v>
      </c>
      <c r="C63" s="1" t="s">
        <v>1</v>
      </c>
      <c r="D63" s="1" t="s">
        <v>2</v>
      </c>
      <c r="E63" s="1" t="s">
        <v>57</v>
      </c>
      <c r="F63" s="38" t="s">
        <v>58</v>
      </c>
      <c r="G63" s="1" t="s">
        <v>57</v>
      </c>
      <c r="H63" s="38" t="s">
        <v>58</v>
      </c>
      <c r="I63" s="1" t="s">
        <v>57</v>
      </c>
      <c r="J63" s="38" t="s">
        <v>58</v>
      </c>
    </row>
    <row r="64" spans="1:10" ht="15.75" thickTop="1">
      <c r="B64" s="2">
        <v>1</v>
      </c>
      <c r="C64" s="54"/>
      <c r="D64" s="54"/>
      <c r="E64" s="30">
        <v>20</v>
      </c>
      <c r="F64" s="32">
        <v>6</v>
      </c>
      <c r="G64" s="42">
        <f>C64-E64</f>
        <v>-20</v>
      </c>
      <c r="H64" s="43">
        <f>D64-F64</f>
        <v>-6</v>
      </c>
      <c r="I64" s="44">
        <f>G64/E64</f>
        <v>-1</v>
      </c>
      <c r="J64" s="44">
        <f>H64/F64</f>
        <v>-1</v>
      </c>
    </row>
    <row r="65" spans="1:10">
      <c r="B65" s="2">
        <v>2</v>
      </c>
      <c r="C65" s="55"/>
      <c r="D65" s="55"/>
      <c r="E65" s="31">
        <v>32</v>
      </c>
      <c r="F65" s="33">
        <v>5</v>
      </c>
      <c r="G65" s="42">
        <f t="shared" ref="G65:G66" si="26">C65-E65</f>
        <v>-32</v>
      </c>
      <c r="H65" s="43">
        <f t="shared" ref="H65:H66" si="27">D65-F65</f>
        <v>-5</v>
      </c>
      <c r="I65" s="44">
        <f t="shared" ref="I65:I66" si="28">G65/E65</f>
        <v>-1</v>
      </c>
      <c r="J65" s="44">
        <f t="shared" ref="J65:J66" si="29">H65/F65</f>
        <v>-1</v>
      </c>
    </row>
    <row r="66" spans="1:10">
      <c r="B66" s="2">
        <v>3</v>
      </c>
      <c r="C66" s="55"/>
      <c r="D66" s="55"/>
      <c r="E66" s="31">
        <v>32</v>
      </c>
      <c r="F66" s="33">
        <v>5</v>
      </c>
      <c r="G66" s="42">
        <f t="shared" si="26"/>
        <v>-32</v>
      </c>
      <c r="H66" s="43">
        <f t="shared" si="27"/>
        <v>-5</v>
      </c>
      <c r="I66" s="44">
        <f t="shared" si="28"/>
        <v>-1</v>
      </c>
      <c r="J66" s="44">
        <f t="shared" si="29"/>
        <v>-1</v>
      </c>
    </row>
    <row r="67" spans="1:10">
      <c r="B67" s="57"/>
      <c r="E67" s="58"/>
      <c r="F67" s="59"/>
      <c r="G67" s="60"/>
      <c r="H67" s="60"/>
      <c r="I67" s="60"/>
      <c r="J67" s="60"/>
    </row>
    <row r="68" spans="1:10">
      <c r="A68" s="152" t="s">
        <v>65</v>
      </c>
      <c r="B68" s="152"/>
    </row>
    <row r="69" spans="1:10">
      <c r="B69" s="36" t="s">
        <v>91</v>
      </c>
    </row>
    <row r="70" spans="1:10" ht="15.75" thickBot="1">
      <c r="B70" s="1" t="s">
        <v>0</v>
      </c>
      <c r="C70" s="1" t="s">
        <v>68</v>
      </c>
      <c r="D70" s="1" t="s">
        <v>70</v>
      </c>
    </row>
    <row r="71" spans="1:10" ht="15.75" thickTop="1">
      <c r="B71" s="2">
        <v>1</v>
      </c>
      <c r="C71" s="56"/>
      <c r="D71" s="56"/>
    </row>
    <row r="72" spans="1:10">
      <c r="B72" s="2">
        <v>2</v>
      </c>
      <c r="C72" s="48"/>
      <c r="D72" s="48"/>
    </row>
    <row r="73" spans="1:10">
      <c r="B73" s="3">
        <v>3</v>
      </c>
      <c r="C73" s="48"/>
      <c r="D73" s="48"/>
    </row>
    <row r="74" spans="1:10">
      <c r="B74" s="36" t="s">
        <v>66</v>
      </c>
    </row>
    <row r="75" spans="1:10">
      <c r="B75" s="41"/>
      <c r="C75" s="148" t="s">
        <v>99</v>
      </c>
      <c r="D75" s="148"/>
      <c r="E75" s="149" t="s">
        <v>52</v>
      </c>
      <c r="F75" s="145"/>
      <c r="G75" s="151" t="s">
        <v>53</v>
      </c>
      <c r="H75" s="151"/>
      <c r="I75" s="149" t="s">
        <v>54</v>
      </c>
      <c r="J75" s="145"/>
    </row>
    <row r="76" spans="1:10" ht="15.75" thickBot="1">
      <c r="B76" s="1" t="s">
        <v>0</v>
      </c>
      <c r="C76" s="1" t="s">
        <v>1</v>
      </c>
      <c r="D76" s="1" t="s">
        <v>2</v>
      </c>
      <c r="E76" s="1" t="s">
        <v>1</v>
      </c>
      <c r="F76" s="1" t="s">
        <v>2</v>
      </c>
      <c r="G76" s="1" t="s">
        <v>1</v>
      </c>
      <c r="H76" s="1" t="s">
        <v>2</v>
      </c>
      <c r="I76" s="1" t="s">
        <v>1</v>
      </c>
      <c r="J76" s="1" t="s">
        <v>2</v>
      </c>
    </row>
    <row r="77" spans="1:10" ht="15.75" thickTop="1">
      <c r="B77" s="2">
        <v>1</v>
      </c>
      <c r="C77" s="54"/>
      <c r="D77" s="54"/>
      <c r="E77" s="30">
        <v>20</v>
      </c>
      <c r="F77" s="32">
        <v>6</v>
      </c>
      <c r="G77" s="42">
        <f>C77-E77</f>
        <v>-20</v>
      </c>
      <c r="H77" s="43">
        <f>D77-F77</f>
        <v>-6</v>
      </c>
      <c r="I77" s="44">
        <f>G77/E77</f>
        <v>-1</v>
      </c>
      <c r="J77" s="44">
        <f>H77/F77</f>
        <v>-1</v>
      </c>
    </row>
    <row r="78" spans="1:10">
      <c r="B78" s="2">
        <v>2</v>
      </c>
      <c r="C78" s="55"/>
      <c r="D78" s="55"/>
      <c r="E78" s="31">
        <v>32</v>
      </c>
      <c r="F78" s="33">
        <v>5</v>
      </c>
      <c r="G78" s="45">
        <f t="shared" ref="G78:G79" si="30">C78-E78</f>
        <v>-32</v>
      </c>
      <c r="H78" s="46">
        <f t="shared" ref="H78:H79" si="31">D78-F78</f>
        <v>-5</v>
      </c>
      <c r="I78" s="47">
        <f t="shared" ref="I78:I79" si="32">G78/E78</f>
        <v>-1</v>
      </c>
      <c r="J78" s="47">
        <f t="shared" ref="J78:J79" si="33">H78/F78</f>
        <v>-1</v>
      </c>
    </row>
    <row r="79" spans="1:10">
      <c r="B79" s="3">
        <v>3</v>
      </c>
      <c r="C79" s="55"/>
      <c r="D79" s="55"/>
      <c r="E79" s="31">
        <v>32</v>
      </c>
      <c r="F79" s="33">
        <v>5</v>
      </c>
      <c r="G79" s="45">
        <f t="shared" si="30"/>
        <v>-32</v>
      </c>
      <c r="H79" s="46">
        <f t="shared" si="31"/>
        <v>-5</v>
      </c>
      <c r="I79" s="47">
        <f t="shared" si="32"/>
        <v>-1</v>
      </c>
      <c r="J79" s="47">
        <f t="shared" si="33"/>
        <v>-1</v>
      </c>
    </row>
    <row r="80" spans="1:10">
      <c r="B80" s="147" t="s">
        <v>49</v>
      </c>
      <c r="C80" s="147"/>
      <c r="D80" s="67"/>
      <c r="E80" s="61"/>
      <c r="F80" s="62"/>
      <c r="G80" s="63"/>
      <c r="H80" s="64"/>
      <c r="I80" s="65"/>
      <c r="J80" s="66"/>
    </row>
    <row r="81" spans="2:10">
      <c r="B81" s="41"/>
      <c r="C81" s="148" t="s">
        <v>99</v>
      </c>
      <c r="D81" s="148"/>
      <c r="E81" s="149" t="s">
        <v>52</v>
      </c>
      <c r="F81" s="145"/>
      <c r="G81" s="149" t="s">
        <v>53</v>
      </c>
      <c r="H81" s="145"/>
      <c r="I81" s="149" t="s">
        <v>54</v>
      </c>
      <c r="J81" s="145"/>
    </row>
    <row r="82" spans="2:10" ht="18.75" thickBot="1">
      <c r="B82" s="1" t="s">
        <v>0</v>
      </c>
      <c r="C82" s="1" t="s">
        <v>1</v>
      </c>
      <c r="D82" s="1" t="s">
        <v>2</v>
      </c>
      <c r="E82" s="1" t="s">
        <v>57</v>
      </c>
      <c r="F82" s="38" t="s">
        <v>58</v>
      </c>
      <c r="G82" s="1" t="s">
        <v>57</v>
      </c>
      <c r="H82" s="38" t="s">
        <v>58</v>
      </c>
      <c r="I82" s="1" t="s">
        <v>57</v>
      </c>
      <c r="J82" s="38" t="s">
        <v>58</v>
      </c>
    </row>
    <row r="83" spans="2:10" ht="15.75" thickTop="1">
      <c r="B83" s="2">
        <v>1</v>
      </c>
      <c r="C83" s="54"/>
      <c r="D83" s="54"/>
      <c r="E83" s="30">
        <v>20</v>
      </c>
      <c r="F83" s="32">
        <v>6</v>
      </c>
      <c r="G83" s="42">
        <f>C83-E83</f>
        <v>-20</v>
      </c>
      <c r="H83" s="43">
        <f>D83-F83</f>
        <v>-6</v>
      </c>
      <c r="I83" s="44">
        <f>G83/E83</f>
        <v>-1</v>
      </c>
      <c r="J83" s="44">
        <f>H83/F83</f>
        <v>-1</v>
      </c>
    </row>
    <row r="84" spans="2:10">
      <c r="B84" s="2">
        <v>2</v>
      </c>
      <c r="C84" s="55"/>
      <c r="D84" s="55"/>
      <c r="E84" s="31">
        <v>32</v>
      </c>
      <c r="F84" s="33">
        <v>5</v>
      </c>
      <c r="G84" s="42">
        <f t="shared" ref="G84:G85" si="34">C84-E84</f>
        <v>-32</v>
      </c>
      <c r="H84" s="43">
        <f t="shared" ref="H84:H85" si="35">D84-F84</f>
        <v>-5</v>
      </c>
      <c r="I84" s="44">
        <f t="shared" ref="I84:I85" si="36">G84/E84</f>
        <v>-1</v>
      </c>
      <c r="J84" s="44">
        <f t="shared" ref="J84:J85" si="37">H84/F84</f>
        <v>-1</v>
      </c>
    </row>
    <row r="85" spans="2:10">
      <c r="B85" s="2">
        <v>3</v>
      </c>
      <c r="C85" s="55"/>
      <c r="D85" s="55"/>
      <c r="E85" s="31">
        <v>32</v>
      </c>
      <c r="F85" s="33">
        <v>5</v>
      </c>
      <c r="G85" s="42">
        <f t="shared" si="34"/>
        <v>-32</v>
      </c>
      <c r="H85" s="43">
        <f t="shared" si="35"/>
        <v>-5</v>
      </c>
      <c r="I85" s="44">
        <f t="shared" si="36"/>
        <v>-1</v>
      </c>
      <c r="J85" s="44">
        <f t="shared" si="37"/>
        <v>-1</v>
      </c>
    </row>
  </sheetData>
  <mergeCells count="48">
    <mergeCell ref="B3:B4"/>
    <mergeCell ref="B61:C61"/>
    <mergeCell ref="B10:D10"/>
    <mergeCell ref="A1:B1"/>
    <mergeCell ref="A49:B49"/>
    <mergeCell ref="C56:D56"/>
    <mergeCell ref="D3:J4"/>
    <mergeCell ref="I22:J22"/>
    <mergeCell ref="C37:D37"/>
    <mergeCell ref="E37:F37"/>
    <mergeCell ref="G37:H37"/>
    <mergeCell ref="I37:J37"/>
    <mergeCell ref="C29:D29"/>
    <mergeCell ref="E29:F29"/>
    <mergeCell ref="G29:H29"/>
    <mergeCell ref="I29:J29"/>
    <mergeCell ref="C81:D81"/>
    <mergeCell ref="E81:F81"/>
    <mergeCell ref="G81:H81"/>
    <mergeCell ref="I81:J81"/>
    <mergeCell ref="A21:C21"/>
    <mergeCell ref="C22:D22"/>
    <mergeCell ref="E22:F22"/>
    <mergeCell ref="G22:H22"/>
    <mergeCell ref="G62:H62"/>
    <mergeCell ref="I62:J62"/>
    <mergeCell ref="G56:H56"/>
    <mergeCell ref="I56:J56"/>
    <mergeCell ref="C43:D43"/>
    <mergeCell ref="G75:H75"/>
    <mergeCell ref="I75:J75"/>
    <mergeCell ref="C75:D75"/>
    <mergeCell ref="A17:B17"/>
    <mergeCell ref="B13:D13"/>
    <mergeCell ref="M22:N22"/>
    <mergeCell ref="A6:B6"/>
    <mergeCell ref="B80:C80"/>
    <mergeCell ref="A68:B68"/>
    <mergeCell ref="K22:L22"/>
    <mergeCell ref="E43:F43"/>
    <mergeCell ref="G43:H43"/>
    <mergeCell ref="I43:J43"/>
    <mergeCell ref="E75:F75"/>
    <mergeCell ref="C62:D62"/>
    <mergeCell ref="E62:F62"/>
    <mergeCell ref="A28:C28"/>
    <mergeCell ref="A35:C35"/>
    <mergeCell ref="E56:F56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81"/>
  <sheetViews>
    <sheetView topLeftCell="A55" zoomScale="80" zoomScaleNormal="80" workbookViewId="0">
      <selection activeCell="S15" sqref="S15"/>
    </sheetView>
  </sheetViews>
  <sheetFormatPr defaultColWidth="8.85546875" defaultRowHeight="15"/>
  <cols>
    <col min="1" max="1" width="3" customWidth="1"/>
    <col min="2" max="2" width="3.42578125" customWidth="1"/>
    <col min="3" max="3" width="19.85546875" customWidth="1"/>
    <col min="4" max="4" width="12.5703125" customWidth="1"/>
    <col min="5" max="5" width="14" customWidth="1"/>
    <col min="6" max="6" width="6.42578125" customWidth="1"/>
    <col min="7" max="8" width="6" customWidth="1"/>
    <col min="9" max="9" width="5.5703125" customWidth="1"/>
    <col min="13" max="13" width="23.7109375" customWidth="1"/>
  </cols>
  <sheetData>
    <row r="1" spans="1:13">
      <c r="A1" s="167" t="s">
        <v>81</v>
      </c>
      <c r="B1" s="167"/>
      <c r="C1" s="167"/>
      <c r="D1" s="167"/>
      <c r="E1" s="167"/>
    </row>
    <row r="3" spans="1:13">
      <c r="C3" s="151" t="s">
        <v>55</v>
      </c>
      <c r="D3" s="48" t="s">
        <v>56</v>
      </c>
      <c r="E3" s="168" t="s">
        <v>105</v>
      </c>
      <c r="F3" s="169"/>
      <c r="G3" s="169"/>
      <c r="H3" s="169"/>
      <c r="I3" s="169"/>
      <c r="J3" s="169"/>
      <c r="K3" s="169"/>
    </row>
    <row r="4" spans="1:13">
      <c r="C4" s="151"/>
      <c r="D4" s="37" t="s">
        <v>63</v>
      </c>
      <c r="E4" s="169"/>
      <c r="F4" s="169"/>
      <c r="G4" s="169"/>
      <c r="H4" s="169"/>
      <c r="I4" s="169"/>
      <c r="J4" s="169"/>
      <c r="K4" s="169"/>
    </row>
    <row r="5" spans="1:13">
      <c r="C5" s="57"/>
      <c r="D5" s="68"/>
      <c r="E5" s="69"/>
      <c r="F5" s="69"/>
      <c r="G5" s="69"/>
      <c r="H5" s="69"/>
      <c r="I5" s="69"/>
      <c r="J5" s="69"/>
      <c r="K5" s="69"/>
    </row>
    <row r="6" spans="1:13">
      <c r="A6" s="162" t="s">
        <v>86</v>
      </c>
      <c r="B6" s="162"/>
      <c r="C6" s="162"/>
      <c r="D6" s="68"/>
      <c r="G6" s="69"/>
      <c r="H6" s="69"/>
      <c r="I6" s="69"/>
      <c r="J6" s="69"/>
      <c r="K6" s="69"/>
    </row>
    <row r="7" spans="1:13" ht="15.75" thickBot="1">
      <c r="C7" s="1" t="s">
        <v>87</v>
      </c>
      <c r="D7" s="90" t="s">
        <v>89</v>
      </c>
      <c r="E7" s="90" t="s">
        <v>90</v>
      </c>
      <c r="G7" s="69"/>
      <c r="H7" s="69"/>
      <c r="I7" s="69"/>
      <c r="J7" s="69"/>
      <c r="K7" s="69"/>
    </row>
    <row r="8" spans="1:13" ht="15.75" thickTop="1">
      <c r="C8" s="2"/>
      <c r="D8" s="92">
        <v>30.289000000000001</v>
      </c>
      <c r="E8" s="92">
        <v>30.283999999999999</v>
      </c>
      <c r="G8" s="166" t="s">
        <v>106</v>
      </c>
      <c r="H8" s="166"/>
      <c r="I8" s="166"/>
      <c r="J8" s="166"/>
      <c r="K8" s="166"/>
      <c r="L8" s="166"/>
      <c r="M8" s="166"/>
    </row>
    <row r="9" spans="1:13">
      <c r="C9" s="57"/>
      <c r="D9" s="68"/>
      <c r="G9" s="69"/>
      <c r="H9" s="69"/>
      <c r="I9" s="69"/>
      <c r="J9" s="69"/>
      <c r="K9" s="69"/>
    </row>
    <row r="10" spans="1:13">
      <c r="A10" s="162" t="s">
        <v>97</v>
      </c>
      <c r="B10" s="162"/>
      <c r="C10" s="162"/>
      <c r="D10" s="68"/>
      <c r="G10" s="69"/>
      <c r="H10" s="69"/>
      <c r="I10" s="69"/>
      <c r="J10" s="69"/>
      <c r="K10" s="69"/>
    </row>
    <row r="11" spans="1:13">
      <c r="A11" s="122"/>
      <c r="B11" s="122"/>
      <c r="C11" s="122" t="s">
        <v>101</v>
      </c>
      <c r="D11" s="121"/>
      <c r="E11" s="121"/>
      <c r="F11" s="121"/>
      <c r="G11" s="121"/>
      <c r="H11" s="121"/>
      <c r="I11" s="121"/>
      <c r="J11" s="121"/>
      <c r="K11" s="122" t="s">
        <v>100</v>
      </c>
      <c r="L11" s="122"/>
      <c r="M11" s="122"/>
    </row>
    <row r="12" spans="1:13">
      <c r="C12" s="57"/>
      <c r="D12" s="68"/>
      <c r="G12" s="69"/>
      <c r="H12" s="69"/>
      <c r="I12" s="69"/>
      <c r="J12" s="69"/>
      <c r="K12" s="69"/>
    </row>
    <row r="13" spans="1:13">
      <c r="C13" s="57"/>
      <c r="D13" s="68"/>
      <c r="E13" s="69"/>
      <c r="F13" s="69"/>
      <c r="G13" s="69"/>
      <c r="H13" s="69"/>
      <c r="I13" s="69"/>
      <c r="J13" s="69"/>
      <c r="K13" s="69"/>
    </row>
    <row r="14" spans="1:13">
      <c r="C14" s="57"/>
      <c r="D14" s="68"/>
      <c r="E14" s="69"/>
      <c r="F14" s="69"/>
      <c r="G14" s="69"/>
      <c r="H14" s="69"/>
      <c r="I14" s="69"/>
      <c r="J14" s="69"/>
      <c r="K14" s="69"/>
    </row>
    <row r="15" spans="1:13">
      <c r="C15" s="57"/>
      <c r="D15" s="68"/>
      <c r="E15" s="69"/>
      <c r="F15" s="69"/>
      <c r="G15" s="69"/>
      <c r="H15" s="69"/>
      <c r="I15" s="69"/>
      <c r="J15" s="69"/>
      <c r="K15" s="69"/>
    </row>
    <row r="16" spans="1:13">
      <c r="C16" s="57"/>
      <c r="D16" s="68"/>
      <c r="E16" s="69"/>
      <c r="F16" s="69"/>
      <c r="G16" s="69"/>
      <c r="H16" s="69"/>
      <c r="I16" s="69"/>
      <c r="J16" s="69"/>
      <c r="K16" s="69"/>
    </row>
    <row r="17" spans="1:19">
      <c r="C17" s="57"/>
      <c r="D17" s="68"/>
      <c r="E17" s="69"/>
      <c r="F17" s="69"/>
      <c r="G17" s="69"/>
      <c r="H17" s="69"/>
      <c r="I17" s="69"/>
      <c r="J17" s="69"/>
      <c r="K17" s="69"/>
    </row>
    <row r="18" spans="1:19">
      <c r="C18" s="57"/>
      <c r="D18" s="68"/>
      <c r="E18" s="69"/>
      <c r="F18" s="69"/>
      <c r="G18" s="69"/>
      <c r="H18" s="69"/>
      <c r="I18" s="69"/>
      <c r="J18" s="69"/>
      <c r="K18" s="69"/>
    </row>
    <row r="19" spans="1:19">
      <c r="C19" s="57"/>
      <c r="D19" s="68"/>
      <c r="E19" s="69"/>
      <c r="F19" s="69"/>
      <c r="G19" s="69"/>
      <c r="H19" s="69"/>
      <c r="I19" s="69"/>
      <c r="J19" s="69"/>
      <c r="K19" s="69"/>
    </row>
    <row r="20" spans="1:19">
      <c r="C20" s="57"/>
      <c r="D20" s="68"/>
      <c r="E20" s="69"/>
      <c r="F20" s="69"/>
      <c r="G20" s="69"/>
      <c r="H20" s="69"/>
      <c r="I20" s="69"/>
      <c r="J20" s="69"/>
      <c r="K20" s="69"/>
    </row>
    <row r="21" spans="1:19">
      <c r="C21" s="57"/>
      <c r="D21" s="68"/>
      <c r="E21" s="69"/>
      <c r="F21" s="69"/>
      <c r="G21" s="69"/>
      <c r="H21" s="69"/>
      <c r="I21" s="69"/>
      <c r="J21" s="69"/>
      <c r="K21" s="69"/>
    </row>
    <row r="22" spans="1:19">
      <c r="C22" s="57"/>
      <c r="D22" s="68"/>
      <c r="E22" s="69"/>
      <c r="F22" s="69"/>
      <c r="G22" s="69"/>
      <c r="H22" s="69"/>
      <c r="I22" s="69"/>
      <c r="J22" s="69"/>
      <c r="K22" s="69"/>
    </row>
    <row r="23" spans="1:19" ht="12" customHeight="1">
      <c r="C23" s="57"/>
      <c r="D23" s="68"/>
      <c r="E23" s="69"/>
      <c r="F23" s="69"/>
      <c r="G23" s="69"/>
      <c r="H23" s="69"/>
      <c r="I23" s="69"/>
      <c r="J23" s="69"/>
      <c r="K23" s="69"/>
    </row>
    <row r="24" spans="1:19">
      <c r="C24" s="57"/>
      <c r="D24" s="68"/>
      <c r="E24" s="69"/>
      <c r="F24" s="69"/>
      <c r="G24" s="69"/>
      <c r="H24" s="69"/>
      <c r="I24" s="69"/>
      <c r="J24" s="69"/>
      <c r="K24" s="69"/>
    </row>
    <row r="25" spans="1:19">
      <c r="C25" s="57"/>
      <c r="D25" s="68"/>
      <c r="E25" s="69"/>
      <c r="F25" s="69"/>
      <c r="G25" s="69"/>
      <c r="H25" s="69"/>
      <c r="I25" s="69"/>
      <c r="J25" s="69"/>
      <c r="K25" s="69"/>
    </row>
    <row r="26" spans="1:19">
      <c r="C26" s="57"/>
      <c r="D26" s="68"/>
      <c r="E26" s="69"/>
      <c r="F26" s="69"/>
      <c r="G26" s="69"/>
      <c r="H26" s="69"/>
      <c r="I26" s="69"/>
      <c r="J26" s="69"/>
      <c r="K26" s="69"/>
    </row>
    <row r="27" spans="1:19">
      <c r="C27" s="57"/>
      <c r="D27" s="68"/>
      <c r="E27" s="69"/>
      <c r="F27" s="69"/>
      <c r="G27" s="69"/>
      <c r="H27" s="69"/>
      <c r="I27" s="69"/>
      <c r="J27" s="69"/>
      <c r="K27" s="69"/>
    </row>
    <row r="28" spans="1:19" s="105" customFormat="1"/>
    <row r="30" spans="1:19">
      <c r="A30" s="163" t="s">
        <v>95</v>
      </c>
      <c r="B30" s="163"/>
      <c r="C30" s="163"/>
      <c r="K30" s="163" t="s">
        <v>96</v>
      </c>
      <c r="L30" s="163"/>
      <c r="M30" s="163"/>
    </row>
    <row r="31" spans="1:19" ht="25.5" customHeight="1">
      <c r="A31" s="173"/>
      <c r="B31" s="173"/>
      <c r="C31" s="9" t="s">
        <v>13</v>
      </c>
      <c r="D31" s="171" t="s">
        <v>22</v>
      </c>
      <c r="E31" s="171"/>
      <c r="F31" s="171"/>
      <c r="G31" s="171"/>
      <c r="H31" s="171"/>
      <c r="I31" s="171"/>
      <c r="K31" s="164"/>
      <c r="L31" s="164"/>
      <c r="M31" s="113" t="s">
        <v>13</v>
      </c>
      <c r="N31" s="159" t="s">
        <v>22</v>
      </c>
      <c r="O31" s="159"/>
      <c r="P31" s="159"/>
      <c r="Q31" s="159"/>
      <c r="R31" s="159"/>
      <c r="S31" s="159"/>
    </row>
    <row r="32" spans="1:19" ht="59.25" customHeight="1" thickBot="1">
      <c r="A32" s="174"/>
      <c r="B32" s="174"/>
      <c r="C32" s="10" t="s">
        <v>21</v>
      </c>
      <c r="D32" s="11">
        <f>D49</f>
        <v>0</v>
      </c>
      <c r="E32" s="10">
        <f>D55</f>
        <v>4.9000000000000004</v>
      </c>
      <c r="F32" s="10">
        <f>D61</f>
        <v>9.8000000000000007</v>
      </c>
      <c r="G32" s="10">
        <f>D67</f>
        <v>14.7</v>
      </c>
      <c r="H32" s="10">
        <f>D73</f>
        <v>19.600000000000001</v>
      </c>
      <c r="I32" s="10">
        <f>D79</f>
        <v>29.4</v>
      </c>
      <c r="K32" s="165"/>
      <c r="L32" s="165"/>
      <c r="M32" s="114" t="s">
        <v>21</v>
      </c>
      <c r="N32" s="115">
        <f>N49</f>
        <v>0</v>
      </c>
      <c r="O32" s="114">
        <f>N55</f>
        <v>4.9000000000000004</v>
      </c>
      <c r="P32" s="114">
        <f>N61</f>
        <v>9.8000000000000007</v>
      </c>
      <c r="Q32" s="114">
        <f>N67</f>
        <v>14.7</v>
      </c>
      <c r="R32" s="114">
        <f>N73</f>
        <v>19.600000000000001</v>
      </c>
      <c r="S32" s="114">
        <f>N79</f>
        <v>29.4</v>
      </c>
    </row>
    <row r="33" spans="1:19" ht="15.75" thickTop="1">
      <c r="A33" s="175" t="s">
        <v>14</v>
      </c>
      <c r="B33" s="176" t="s">
        <v>15</v>
      </c>
      <c r="C33" s="6" t="s">
        <v>16</v>
      </c>
      <c r="D33" s="98">
        <v>3.399</v>
      </c>
      <c r="E33" s="98">
        <v>3.2509999999999999</v>
      </c>
      <c r="F33" s="98">
        <v>3.0910000000000002</v>
      </c>
      <c r="G33" s="98">
        <v>2.9140000000000001</v>
      </c>
      <c r="H33" s="98">
        <v>2.762</v>
      </c>
      <c r="I33" s="98">
        <v>2.4430000000000001</v>
      </c>
      <c r="K33" s="160" t="s">
        <v>14</v>
      </c>
      <c r="L33" s="161" t="s">
        <v>15</v>
      </c>
      <c r="M33" s="116" t="s">
        <v>16</v>
      </c>
      <c r="N33" s="117">
        <v>3.399</v>
      </c>
      <c r="O33" s="117">
        <v>3.2509999999999999</v>
      </c>
      <c r="P33" s="117">
        <v>3.0910000000000002</v>
      </c>
      <c r="Q33" s="117">
        <v>2.9140000000000001</v>
      </c>
      <c r="R33" s="117">
        <v>2.762</v>
      </c>
      <c r="S33" s="117">
        <v>2.4430000000000001</v>
      </c>
    </row>
    <row r="34" spans="1:19">
      <c r="A34" s="170"/>
      <c r="B34" s="171"/>
      <c r="C34" s="4" t="s">
        <v>17</v>
      </c>
      <c r="D34" s="99">
        <f>C49</f>
        <v>0</v>
      </c>
      <c r="E34" s="99">
        <v>0.14799999999999999</v>
      </c>
      <c r="F34" s="99">
        <v>0.308</v>
      </c>
      <c r="G34" s="99">
        <v>0.48499999999999999</v>
      </c>
      <c r="H34" s="99">
        <v>0.63700000000000001</v>
      </c>
      <c r="I34" s="99">
        <v>0.95599999999999996</v>
      </c>
      <c r="K34" s="158"/>
      <c r="L34" s="159"/>
      <c r="M34" s="118" t="s">
        <v>17</v>
      </c>
      <c r="N34" s="119">
        <f>M49</f>
        <v>0</v>
      </c>
      <c r="O34" s="119">
        <v>0.14799999999999999</v>
      </c>
      <c r="P34" s="119">
        <v>0.308</v>
      </c>
      <c r="Q34" s="119">
        <v>0.48499999999999999</v>
      </c>
      <c r="R34" s="119">
        <v>0.63700000000000001</v>
      </c>
      <c r="S34" s="119">
        <v>0.95599999999999996</v>
      </c>
    </row>
    <row r="35" spans="1:19">
      <c r="A35" s="170"/>
      <c r="B35" s="171" t="s">
        <v>18</v>
      </c>
      <c r="C35" s="4" t="s">
        <v>16</v>
      </c>
      <c r="D35" s="99">
        <v>3.3959999999999999</v>
      </c>
      <c r="E35" s="99">
        <v>3.2370000000000001</v>
      </c>
      <c r="F35" s="99">
        <v>3.073</v>
      </c>
      <c r="G35" s="99">
        <v>2.9089999999999998</v>
      </c>
      <c r="H35" s="99">
        <v>2.7519999999999998</v>
      </c>
      <c r="I35" s="172"/>
      <c r="K35" s="158"/>
      <c r="L35" s="159" t="s">
        <v>18</v>
      </c>
      <c r="M35" s="118" t="s">
        <v>16</v>
      </c>
      <c r="N35" s="119">
        <v>3.3959999999999999</v>
      </c>
      <c r="O35" s="119">
        <v>3.2370000000000001</v>
      </c>
      <c r="P35" s="119">
        <v>3.073</v>
      </c>
      <c r="Q35" s="119">
        <v>2.9089999999999998</v>
      </c>
      <c r="R35" s="119">
        <v>2.7519999999999998</v>
      </c>
      <c r="S35" s="157"/>
    </row>
    <row r="36" spans="1:19">
      <c r="A36" s="170"/>
      <c r="B36" s="171"/>
      <c r="C36" s="4" t="s">
        <v>17</v>
      </c>
      <c r="D36" s="99">
        <f>C50</f>
        <v>3.0000000000000001E-3</v>
      </c>
      <c r="E36" s="99">
        <v>0.16200000000000001</v>
      </c>
      <c r="F36" s="99">
        <v>0.32600000000000001</v>
      </c>
      <c r="G36" s="99">
        <v>0.49</v>
      </c>
      <c r="H36" s="99">
        <v>0.64700000000000002</v>
      </c>
      <c r="I36" s="172"/>
      <c r="K36" s="158"/>
      <c r="L36" s="159"/>
      <c r="M36" s="118" t="s">
        <v>17</v>
      </c>
      <c r="N36" s="119">
        <f>M50</f>
        <v>3.0000000000000001E-3</v>
      </c>
      <c r="O36" s="119">
        <v>0.16200000000000001</v>
      </c>
      <c r="P36" s="119">
        <v>0.32600000000000001</v>
      </c>
      <c r="Q36" s="119">
        <v>0.49</v>
      </c>
      <c r="R36" s="119">
        <v>0.64700000000000002</v>
      </c>
      <c r="S36" s="157"/>
    </row>
    <row r="37" spans="1:19">
      <c r="A37" s="170" t="s">
        <v>19</v>
      </c>
      <c r="B37" s="171" t="s">
        <v>15</v>
      </c>
      <c r="C37" s="4" t="s">
        <v>16</v>
      </c>
      <c r="D37" s="99">
        <v>3.4260000000000002</v>
      </c>
      <c r="E37" s="99">
        <v>3.2789999999999999</v>
      </c>
      <c r="F37" s="99">
        <v>3.1139999999999999</v>
      </c>
      <c r="G37" s="99">
        <v>2.948</v>
      </c>
      <c r="H37" s="99">
        <v>2.7890000000000001</v>
      </c>
      <c r="I37" s="99">
        <v>2.4609999999999999</v>
      </c>
      <c r="K37" s="158" t="s">
        <v>19</v>
      </c>
      <c r="L37" s="159" t="s">
        <v>15</v>
      </c>
      <c r="M37" s="118" t="s">
        <v>16</v>
      </c>
      <c r="N37" s="119">
        <v>3.4260000000000002</v>
      </c>
      <c r="O37" s="119">
        <v>3.2789999999999999</v>
      </c>
      <c r="P37" s="119">
        <v>3.1139999999999999</v>
      </c>
      <c r="Q37" s="119">
        <v>2.948</v>
      </c>
      <c r="R37" s="119">
        <v>2.7890000000000001</v>
      </c>
      <c r="S37" s="119">
        <v>2.4609999999999999</v>
      </c>
    </row>
    <row r="38" spans="1:19">
      <c r="A38" s="170"/>
      <c r="B38" s="171"/>
      <c r="C38" s="4" t="s">
        <v>17</v>
      </c>
      <c r="D38" s="99">
        <f>C51</f>
        <v>0</v>
      </c>
      <c r="E38" s="99">
        <v>0.14699999999999999</v>
      </c>
      <c r="F38" s="99">
        <v>0.312</v>
      </c>
      <c r="G38" s="99">
        <v>0.47799999999999998</v>
      </c>
      <c r="H38" s="99">
        <v>0.63700000000000001</v>
      </c>
      <c r="I38" s="99">
        <v>0.96499999999999997</v>
      </c>
      <c r="K38" s="158"/>
      <c r="L38" s="159"/>
      <c r="M38" s="118" t="s">
        <v>17</v>
      </c>
      <c r="N38" s="119">
        <f>M51</f>
        <v>0</v>
      </c>
      <c r="O38" s="119">
        <v>0.14699999999999999</v>
      </c>
      <c r="P38" s="119">
        <v>0.312</v>
      </c>
      <c r="Q38" s="119">
        <v>0.47799999999999998</v>
      </c>
      <c r="R38" s="119">
        <v>0.63700000000000001</v>
      </c>
      <c r="S38" s="119">
        <v>0.96499999999999997</v>
      </c>
    </row>
    <row r="39" spans="1:19">
      <c r="A39" s="170"/>
      <c r="B39" s="171" t="s">
        <v>18</v>
      </c>
      <c r="C39" s="4" t="s">
        <v>16</v>
      </c>
      <c r="D39" s="99">
        <v>3.419</v>
      </c>
      <c r="E39" s="99">
        <v>3.2530000000000001</v>
      </c>
      <c r="F39" s="99">
        <v>3.0979999999999999</v>
      </c>
      <c r="G39" s="99">
        <v>2.9279999999999999</v>
      </c>
      <c r="H39" s="99">
        <v>2.7719999999999998</v>
      </c>
      <c r="I39" s="172"/>
      <c r="K39" s="158"/>
      <c r="L39" s="159" t="s">
        <v>18</v>
      </c>
      <c r="M39" s="118" t="s">
        <v>16</v>
      </c>
      <c r="N39" s="119">
        <v>3.419</v>
      </c>
      <c r="O39" s="119">
        <v>3.2530000000000001</v>
      </c>
      <c r="P39" s="119">
        <v>3.0979999999999999</v>
      </c>
      <c r="Q39" s="119">
        <v>2.9279999999999999</v>
      </c>
      <c r="R39" s="119">
        <v>2.7719999999999998</v>
      </c>
      <c r="S39" s="157"/>
    </row>
    <row r="40" spans="1:19">
      <c r="A40" s="170"/>
      <c r="B40" s="171"/>
      <c r="C40" s="4" t="s">
        <v>17</v>
      </c>
      <c r="D40" s="99">
        <f>C52</f>
        <v>7.0000000000000001E-3</v>
      </c>
      <c r="E40" s="99">
        <v>0.13700000000000001</v>
      </c>
      <c r="F40" s="99">
        <v>0.32800000000000001</v>
      </c>
      <c r="G40" s="99">
        <v>0.498</v>
      </c>
      <c r="H40" s="99">
        <v>0.65400000000000003</v>
      </c>
      <c r="I40" s="172"/>
      <c r="K40" s="158"/>
      <c r="L40" s="159"/>
      <c r="M40" s="118" t="s">
        <v>17</v>
      </c>
      <c r="N40" s="119">
        <f>M52</f>
        <v>7.0000000000000001E-3</v>
      </c>
      <c r="O40" s="119">
        <v>0.13700000000000001</v>
      </c>
      <c r="P40" s="119">
        <v>0.32800000000000001</v>
      </c>
      <c r="Q40" s="119">
        <v>0.498</v>
      </c>
      <c r="R40" s="119">
        <v>0.65400000000000003</v>
      </c>
      <c r="S40" s="157"/>
    </row>
    <row r="41" spans="1:19">
      <c r="A41" s="170" t="s">
        <v>20</v>
      </c>
      <c r="B41" s="171" t="s">
        <v>15</v>
      </c>
      <c r="C41" s="4" t="s">
        <v>16</v>
      </c>
      <c r="D41" s="99">
        <v>3.419</v>
      </c>
      <c r="E41" s="99">
        <v>3.2709999999999999</v>
      </c>
      <c r="F41" s="99">
        <v>3.109</v>
      </c>
      <c r="G41" s="99">
        <v>2.9390000000000001</v>
      </c>
      <c r="H41" s="99">
        <v>2.7719999999999998</v>
      </c>
      <c r="I41" s="99">
        <v>2.4590000000000001</v>
      </c>
      <c r="K41" s="158" t="s">
        <v>20</v>
      </c>
      <c r="L41" s="159" t="s">
        <v>15</v>
      </c>
      <c r="M41" s="118" t="s">
        <v>16</v>
      </c>
      <c r="N41" s="119">
        <v>3.419</v>
      </c>
      <c r="O41" s="119">
        <v>3.2709999999999999</v>
      </c>
      <c r="P41" s="119">
        <v>3.109</v>
      </c>
      <c r="Q41" s="119">
        <v>2.9390000000000001</v>
      </c>
      <c r="R41" s="119">
        <v>2.7719999999999998</v>
      </c>
      <c r="S41" s="119">
        <v>2.4590000000000001</v>
      </c>
    </row>
    <row r="42" spans="1:19">
      <c r="A42" s="170"/>
      <c r="B42" s="171"/>
      <c r="C42" s="4" t="s">
        <v>17</v>
      </c>
      <c r="D42" s="99">
        <v>0</v>
      </c>
      <c r="E42" s="99">
        <v>0.14799999999999999</v>
      </c>
      <c r="F42" s="99">
        <v>0.31</v>
      </c>
      <c r="G42" s="99">
        <v>0.48</v>
      </c>
      <c r="H42" s="99">
        <v>0.64700000000000002</v>
      </c>
      <c r="I42" s="99">
        <v>0.96</v>
      </c>
      <c r="K42" s="158"/>
      <c r="L42" s="159"/>
      <c r="M42" s="118" t="s">
        <v>17</v>
      </c>
      <c r="N42" s="119">
        <v>0</v>
      </c>
      <c r="O42" s="119">
        <v>0.14799999999999999</v>
      </c>
      <c r="P42" s="119">
        <v>0.31</v>
      </c>
      <c r="Q42" s="119">
        <v>0.48</v>
      </c>
      <c r="R42" s="119">
        <v>0.64700000000000002</v>
      </c>
      <c r="S42" s="119">
        <v>0.96</v>
      </c>
    </row>
    <row r="43" spans="1:19">
      <c r="A43" s="170"/>
      <c r="B43" s="171" t="s">
        <v>18</v>
      </c>
      <c r="C43" s="4" t="s">
        <v>16</v>
      </c>
      <c r="D43" s="99">
        <v>3.4289999999999998</v>
      </c>
      <c r="E43" s="99">
        <v>3.2610000000000001</v>
      </c>
      <c r="F43" s="99">
        <v>3.105</v>
      </c>
      <c r="G43" s="99">
        <v>2.93</v>
      </c>
      <c r="H43" s="99">
        <v>2.77</v>
      </c>
      <c r="I43" s="172"/>
      <c r="K43" s="158"/>
      <c r="L43" s="159" t="s">
        <v>18</v>
      </c>
      <c r="M43" s="118" t="s">
        <v>16</v>
      </c>
      <c r="N43" s="119">
        <v>3.4289999999999998</v>
      </c>
      <c r="O43" s="119">
        <v>3.2610000000000001</v>
      </c>
      <c r="P43" s="119">
        <v>3.105</v>
      </c>
      <c r="Q43" s="119">
        <v>2.93</v>
      </c>
      <c r="R43" s="119">
        <v>2.77</v>
      </c>
      <c r="S43" s="157"/>
    </row>
    <row r="44" spans="1:19">
      <c r="A44" s="170"/>
      <c r="B44" s="171"/>
      <c r="C44" s="4" t="s">
        <v>17</v>
      </c>
      <c r="D44" s="99">
        <v>-0.01</v>
      </c>
      <c r="E44" s="99">
        <v>0.158</v>
      </c>
      <c r="F44" s="99">
        <v>0.314</v>
      </c>
      <c r="G44" s="99">
        <v>0.48899999999999999</v>
      </c>
      <c r="H44" s="99">
        <v>0.64900000000000002</v>
      </c>
      <c r="I44" s="172"/>
      <c r="K44" s="158"/>
      <c r="L44" s="159"/>
      <c r="M44" s="118" t="s">
        <v>17</v>
      </c>
      <c r="N44" s="119">
        <v>-0.01</v>
      </c>
      <c r="O44" s="119">
        <v>0.158</v>
      </c>
      <c r="P44" s="119">
        <v>0.314</v>
      </c>
      <c r="Q44" s="119">
        <v>0.48899999999999999</v>
      </c>
      <c r="R44" s="119">
        <v>0.64900000000000002</v>
      </c>
      <c r="S44" s="157"/>
    </row>
    <row r="47" spans="1:19" ht="15.75" thickBot="1">
      <c r="A47" s="162" t="s">
        <v>94</v>
      </c>
      <c r="B47" s="162"/>
      <c r="C47" s="162"/>
      <c r="K47" s="162" t="s">
        <v>94</v>
      </c>
      <c r="L47" s="162"/>
      <c r="M47" s="162"/>
    </row>
    <row r="48" spans="1:19" ht="15.75" thickBot="1">
      <c r="C48" s="93" t="s">
        <v>92</v>
      </c>
      <c r="D48" s="94" t="s">
        <v>93</v>
      </c>
      <c r="M48" s="93" t="s">
        <v>92</v>
      </c>
      <c r="N48" s="94" t="s">
        <v>93</v>
      </c>
    </row>
    <row r="49" spans="3:14" ht="15.75" thickTop="1">
      <c r="C49" s="100">
        <v>0</v>
      </c>
      <c r="D49" s="95">
        <v>0</v>
      </c>
      <c r="M49" s="106">
        <v>0</v>
      </c>
      <c r="N49" s="95">
        <f>D49</f>
        <v>0</v>
      </c>
    </row>
    <row r="50" spans="3:14">
      <c r="C50" s="100">
        <v>3.0000000000000001E-3</v>
      </c>
      <c r="D50" s="95">
        <v>0</v>
      </c>
      <c r="M50" s="106">
        <v>3.0000000000000001E-3</v>
      </c>
      <c r="N50" s="95">
        <f t="shared" ref="N50:N81" si="0">D50</f>
        <v>0</v>
      </c>
    </row>
    <row r="51" spans="3:14">
      <c r="C51" s="100">
        <v>0</v>
      </c>
      <c r="D51" s="95">
        <v>0</v>
      </c>
      <c r="M51" s="106">
        <v>0</v>
      </c>
      <c r="N51" s="95">
        <f t="shared" si="0"/>
        <v>0</v>
      </c>
    </row>
    <row r="52" spans="3:14">
      <c r="C52" s="100">
        <v>7.0000000000000001E-3</v>
      </c>
      <c r="D52" s="95">
        <v>0</v>
      </c>
      <c r="M52" s="106">
        <v>7.0000000000000001E-3</v>
      </c>
      <c r="N52" s="95">
        <f t="shared" si="0"/>
        <v>0</v>
      </c>
    </row>
    <row r="53" spans="3:14">
      <c r="C53" s="100">
        <v>0</v>
      </c>
      <c r="D53" s="95">
        <v>0</v>
      </c>
      <c r="M53" s="106">
        <v>0</v>
      </c>
      <c r="N53" s="95">
        <f t="shared" si="0"/>
        <v>0</v>
      </c>
    </row>
    <row r="54" spans="3:14">
      <c r="C54" s="101">
        <v>-0.01</v>
      </c>
      <c r="D54" s="96">
        <v>0</v>
      </c>
      <c r="M54" s="107">
        <v>-0.01</v>
      </c>
      <c r="N54" s="112">
        <f t="shared" si="0"/>
        <v>0</v>
      </c>
    </row>
    <row r="55" spans="3:14">
      <c r="C55" s="100">
        <v>0.14799999999999999</v>
      </c>
      <c r="D55" s="95">
        <v>4.9000000000000004</v>
      </c>
      <c r="M55" s="108">
        <f>E34-$D$34</f>
        <v>0.14799999999999999</v>
      </c>
      <c r="N55" s="95">
        <f t="shared" si="0"/>
        <v>4.9000000000000004</v>
      </c>
    </row>
    <row r="56" spans="3:14">
      <c r="C56" s="100">
        <v>0.16200000000000001</v>
      </c>
      <c r="D56" s="95">
        <v>4.9000000000000004</v>
      </c>
      <c r="M56" s="108">
        <f>E36-$D$36</f>
        <v>0.159</v>
      </c>
      <c r="N56" s="95">
        <f t="shared" si="0"/>
        <v>4.9000000000000004</v>
      </c>
    </row>
    <row r="57" spans="3:14">
      <c r="C57" s="100">
        <v>0.14699999999999999</v>
      </c>
      <c r="D57" s="95">
        <v>4.9000000000000004</v>
      </c>
      <c r="M57" s="108">
        <f>E38-D38</f>
        <v>0.14699999999999999</v>
      </c>
      <c r="N57" s="95">
        <f t="shared" si="0"/>
        <v>4.9000000000000004</v>
      </c>
    </row>
    <row r="58" spans="3:14">
      <c r="C58" s="100">
        <v>0.13700000000000001</v>
      </c>
      <c r="D58" s="95">
        <v>4.9000000000000004</v>
      </c>
      <c r="M58" s="108">
        <f>E40-D40</f>
        <v>0.13</v>
      </c>
      <c r="N58" s="95">
        <f t="shared" si="0"/>
        <v>4.9000000000000004</v>
      </c>
    </row>
    <row r="59" spans="3:14">
      <c r="C59" s="100">
        <v>0.14799999999999999</v>
      </c>
      <c r="D59" s="95">
        <v>4.9000000000000004</v>
      </c>
      <c r="M59" s="108">
        <f>E42-D42</f>
        <v>0.14799999999999999</v>
      </c>
      <c r="N59" s="95">
        <f t="shared" si="0"/>
        <v>4.9000000000000004</v>
      </c>
    </row>
    <row r="60" spans="3:14">
      <c r="C60" s="101">
        <v>0.158</v>
      </c>
      <c r="D60" s="96">
        <v>4.9000000000000004</v>
      </c>
      <c r="M60" s="109">
        <f>E44-D44</f>
        <v>0.16800000000000001</v>
      </c>
      <c r="N60" s="112">
        <f t="shared" si="0"/>
        <v>4.9000000000000004</v>
      </c>
    </row>
    <row r="61" spans="3:14">
      <c r="C61" s="102">
        <v>0.308</v>
      </c>
      <c r="D61" s="95">
        <v>9.8000000000000007</v>
      </c>
      <c r="M61" s="108">
        <f>F34-$D$34</f>
        <v>0.308</v>
      </c>
      <c r="N61" s="95">
        <f t="shared" si="0"/>
        <v>9.8000000000000007</v>
      </c>
    </row>
    <row r="62" spans="3:14">
      <c r="C62" s="102">
        <v>0.32600000000000001</v>
      </c>
      <c r="D62" s="95">
        <v>9.8000000000000007</v>
      </c>
      <c r="M62" s="108">
        <f>F36-$D$36</f>
        <v>0.32300000000000001</v>
      </c>
      <c r="N62" s="95">
        <f t="shared" si="0"/>
        <v>9.8000000000000007</v>
      </c>
    </row>
    <row r="63" spans="3:14">
      <c r="C63" s="100">
        <v>0.312</v>
      </c>
      <c r="D63" s="95">
        <v>9.8000000000000007</v>
      </c>
      <c r="M63" s="108">
        <f>F38-D38</f>
        <v>0.312</v>
      </c>
      <c r="N63" s="95">
        <f t="shared" si="0"/>
        <v>9.8000000000000007</v>
      </c>
    </row>
    <row r="64" spans="3:14">
      <c r="C64" s="100">
        <v>0.32800000000000001</v>
      </c>
      <c r="D64" s="95">
        <v>9.8000000000000007</v>
      </c>
      <c r="M64" s="108">
        <f>F40-D40</f>
        <v>0.32100000000000001</v>
      </c>
      <c r="N64" s="95">
        <f t="shared" si="0"/>
        <v>9.8000000000000007</v>
      </c>
    </row>
    <row r="65" spans="3:14">
      <c r="C65" s="102">
        <v>0.31</v>
      </c>
      <c r="D65" s="95">
        <v>9.8000000000000007</v>
      </c>
      <c r="M65" s="108">
        <f>F42-D42</f>
        <v>0.31</v>
      </c>
      <c r="N65" s="95">
        <f t="shared" si="0"/>
        <v>9.8000000000000007</v>
      </c>
    </row>
    <row r="66" spans="3:14">
      <c r="C66" s="101">
        <v>0.314</v>
      </c>
      <c r="D66" s="96">
        <v>9.8000000000000007</v>
      </c>
      <c r="M66" s="109">
        <f>F44-D44</f>
        <v>0.32400000000000001</v>
      </c>
      <c r="N66" s="112">
        <f t="shared" si="0"/>
        <v>9.8000000000000007</v>
      </c>
    </row>
    <row r="67" spans="3:14">
      <c r="C67" s="102">
        <v>0.48499999999999999</v>
      </c>
      <c r="D67" s="95">
        <v>14.7</v>
      </c>
      <c r="M67" s="108">
        <f>G34-D34</f>
        <v>0.48499999999999999</v>
      </c>
      <c r="N67" s="95">
        <f t="shared" si="0"/>
        <v>14.7</v>
      </c>
    </row>
    <row r="68" spans="3:14">
      <c r="C68" s="102">
        <v>0.49</v>
      </c>
      <c r="D68" s="95">
        <v>14.7</v>
      </c>
      <c r="M68" s="108">
        <f>G36-D36</f>
        <v>0.48699999999999999</v>
      </c>
      <c r="N68" s="95">
        <f t="shared" si="0"/>
        <v>14.7</v>
      </c>
    </row>
    <row r="69" spans="3:14">
      <c r="C69" s="100">
        <v>0.47799999999999998</v>
      </c>
      <c r="D69" s="95">
        <v>14.7</v>
      </c>
      <c r="M69" s="108">
        <f>G38-D38</f>
        <v>0.47799999999999998</v>
      </c>
      <c r="N69" s="95">
        <f t="shared" si="0"/>
        <v>14.7</v>
      </c>
    </row>
    <row r="70" spans="3:14">
      <c r="C70" s="100">
        <v>0.498</v>
      </c>
      <c r="D70" s="95">
        <v>14.7</v>
      </c>
      <c r="M70" s="108">
        <f>G40-D40</f>
        <v>0.49099999999999999</v>
      </c>
      <c r="N70" s="95">
        <f t="shared" si="0"/>
        <v>14.7</v>
      </c>
    </row>
    <row r="71" spans="3:14">
      <c r="C71" s="102">
        <v>0.48</v>
      </c>
      <c r="D71" s="95">
        <v>14.7</v>
      </c>
      <c r="M71" s="108">
        <f>G42-D42</f>
        <v>0.48</v>
      </c>
      <c r="N71" s="95">
        <f t="shared" si="0"/>
        <v>14.7</v>
      </c>
    </row>
    <row r="72" spans="3:14">
      <c r="C72" s="101">
        <v>0.48899999999999999</v>
      </c>
      <c r="D72" s="96">
        <v>14.7</v>
      </c>
      <c r="M72" s="109">
        <f>G44-D44</f>
        <v>0.499</v>
      </c>
      <c r="N72" s="112">
        <f t="shared" si="0"/>
        <v>14.7</v>
      </c>
    </row>
    <row r="73" spans="3:14">
      <c r="C73" s="102">
        <v>0.63700000000000001</v>
      </c>
      <c r="D73" s="95">
        <v>19.600000000000001</v>
      </c>
      <c r="M73" s="108">
        <f>H34-D34</f>
        <v>0.63700000000000001</v>
      </c>
      <c r="N73" s="95">
        <f t="shared" si="0"/>
        <v>19.600000000000001</v>
      </c>
    </row>
    <row r="74" spans="3:14">
      <c r="C74" s="100">
        <v>0.64700000000000002</v>
      </c>
      <c r="D74" s="95">
        <v>19.600000000000001</v>
      </c>
      <c r="M74" s="108">
        <f>H36-D36</f>
        <v>0.64400000000000002</v>
      </c>
      <c r="N74" s="95">
        <f t="shared" si="0"/>
        <v>19.600000000000001</v>
      </c>
    </row>
    <row r="75" spans="3:14">
      <c r="C75" s="100">
        <v>0.63700000000000001</v>
      </c>
      <c r="D75" s="95">
        <v>19.600000000000001</v>
      </c>
      <c r="M75" s="108">
        <f>H38-D38</f>
        <v>0.63700000000000001</v>
      </c>
      <c r="N75" s="95">
        <f t="shared" si="0"/>
        <v>19.600000000000001</v>
      </c>
    </row>
    <row r="76" spans="3:14">
      <c r="C76" s="100">
        <v>0.65400000000000003</v>
      </c>
      <c r="D76" s="95">
        <v>19.600000000000001</v>
      </c>
      <c r="M76" s="108">
        <f>H40-D40</f>
        <v>0.64700000000000002</v>
      </c>
      <c r="N76" s="95">
        <f t="shared" si="0"/>
        <v>19.600000000000001</v>
      </c>
    </row>
    <row r="77" spans="3:14">
      <c r="C77" s="100">
        <v>0.64700000000000002</v>
      </c>
      <c r="D77" s="95">
        <v>19.600000000000001</v>
      </c>
      <c r="M77" s="108">
        <f>H42-D42</f>
        <v>0.64700000000000002</v>
      </c>
      <c r="N77" s="95">
        <f t="shared" si="0"/>
        <v>19.600000000000001</v>
      </c>
    </row>
    <row r="78" spans="3:14">
      <c r="C78" s="101">
        <v>0.64900000000000002</v>
      </c>
      <c r="D78" s="96">
        <v>19.600000000000001</v>
      </c>
      <c r="M78" s="109">
        <f>H44-D44</f>
        <v>0.65900000000000003</v>
      </c>
      <c r="N78" s="112">
        <f t="shared" si="0"/>
        <v>19.600000000000001</v>
      </c>
    </row>
    <row r="79" spans="3:14">
      <c r="C79" s="102">
        <v>0.95599999999999996</v>
      </c>
      <c r="D79" s="95">
        <v>29.4</v>
      </c>
      <c r="M79" s="110">
        <f>I34-D34</f>
        <v>0.95599999999999996</v>
      </c>
      <c r="N79" s="95">
        <f t="shared" si="0"/>
        <v>29.4</v>
      </c>
    </row>
    <row r="80" spans="3:14">
      <c r="C80" s="100">
        <v>0.96499999999999997</v>
      </c>
      <c r="D80" s="95">
        <v>29.4</v>
      </c>
      <c r="M80" s="108">
        <f>I38-D38</f>
        <v>0.96499999999999997</v>
      </c>
      <c r="N80" s="95">
        <f t="shared" si="0"/>
        <v>29.4</v>
      </c>
    </row>
    <row r="81" spans="3:14" ht="15.75" thickBot="1">
      <c r="C81" s="103">
        <v>0.96</v>
      </c>
      <c r="D81" s="97">
        <v>29.4</v>
      </c>
      <c r="M81" s="111">
        <f>I42-D42</f>
        <v>0.96</v>
      </c>
      <c r="N81" s="120">
        <f t="shared" si="0"/>
        <v>29.4</v>
      </c>
    </row>
  </sheetData>
  <mergeCells count="38">
    <mergeCell ref="A1:E1"/>
    <mergeCell ref="C3:C4"/>
    <mergeCell ref="E3:K4"/>
    <mergeCell ref="A37:A40"/>
    <mergeCell ref="B37:B38"/>
    <mergeCell ref="B39:B40"/>
    <mergeCell ref="I39:I40"/>
    <mergeCell ref="A31:B32"/>
    <mergeCell ref="D31:I31"/>
    <mergeCell ref="A33:A36"/>
    <mergeCell ref="B33:B34"/>
    <mergeCell ref="B35:B36"/>
    <mergeCell ref="I35:I36"/>
    <mergeCell ref="A47:C47"/>
    <mergeCell ref="A30:C30"/>
    <mergeCell ref="A6:C6"/>
    <mergeCell ref="K30:M30"/>
    <mergeCell ref="K31:L32"/>
    <mergeCell ref="K37:K40"/>
    <mergeCell ref="L37:L38"/>
    <mergeCell ref="L39:L40"/>
    <mergeCell ref="K47:M47"/>
    <mergeCell ref="A10:C10"/>
    <mergeCell ref="G8:M8"/>
    <mergeCell ref="A41:A44"/>
    <mergeCell ref="B41:B42"/>
    <mergeCell ref="B43:B44"/>
    <mergeCell ref="I43:I44"/>
    <mergeCell ref="N31:S31"/>
    <mergeCell ref="K33:K36"/>
    <mergeCell ref="L33:L34"/>
    <mergeCell ref="L35:L36"/>
    <mergeCell ref="S35:S36"/>
    <mergeCell ref="S39:S40"/>
    <mergeCell ref="K41:K44"/>
    <mergeCell ref="L41:L42"/>
    <mergeCell ref="L43:L44"/>
    <mergeCell ref="S43:S44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8"/>
  <sheetViews>
    <sheetView workbookViewId="0">
      <selection activeCell="B19" sqref="B19:C21"/>
    </sheetView>
  </sheetViews>
  <sheetFormatPr defaultColWidth="8.85546875" defaultRowHeight="15"/>
  <cols>
    <col min="1" max="1" width="26" customWidth="1"/>
    <col min="2" max="2" width="31.5703125" customWidth="1"/>
    <col min="3" max="3" width="16.5703125" customWidth="1"/>
    <col min="4" max="4" width="16.85546875" customWidth="1"/>
    <col min="5" max="5" width="24.28515625" customWidth="1"/>
    <col min="6" max="6" width="23.85546875" customWidth="1"/>
    <col min="7" max="7" width="16.85546875" customWidth="1"/>
    <col min="8" max="8" width="32.5703125" customWidth="1"/>
  </cols>
  <sheetData>
    <row r="1" spans="1:10">
      <c r="A1" s="182" t="s">
        <v>104</v>
      </c>
      <c r="B1" s="182"/>
    </row>
    <row r="3" spans="1:10">
      <c r="B3" s="151" t="s">
        <v>55</v>
      </c>
      <c r="C3" s="48" t="s">
        <v>56</v>
      </c>
      <c r="D3" s="168" t="s">
        <v>107</v>
      </c>
      <c r="E3" s="169"/>
      <c r="F3" s="169"/>
      <c r="G3" s="169"/>
      <c r="H3" s="169"/>
      <c r="I3" s="169"/>
      <c r="J3" s="169"/>
    </row>
    <row r="4" spans="1:10">
      <c r="B4" s="151"/>
      <c r="C4" s="37" t="s">
        <v>63</v>
      </c>
      <c r="D4" s="169"/>
      <c r="E4" s="169"/>
      <c r="F4" s="169"/>
      <c r="G4" s="169"/>
      <c r="H4" s="169"/>
      <c r="I4" s="169"/>
      <c r="J4" s="169"/>
    </row>
    <row r="6" spans="1:10">
      <c r="A6" s="78" t="s">
        <v>108</v>
      </c>
    </row>
    <row r="7" spans="1:10">
      <c r="B7" t="s">
        <v>109</v>
      </c>
    </row>
    <row r="8" spans="1:10" ht="15.75" thickBot="1">
      <c r="B8" s="128"/>
      <c r="C8" s="128" t="s">
        <v>110</v>
      </c>
      <c r="D8" s="128" t="s">
        <v>111</v>
      </c>
      <c r="E8" s="128" t="s">
        <v>103</v>
      </c>
      <c r="F8" s="128" t="s">
        <v>112</v>
      </c>
      <c r="G8" s="129" t="s">
        <v>125</v>
      </c>
      <c r="H8" s="129" t="s">
        <v>126</v>
      </c>
    </row>
    <row r="9" spans="1:10" ht="15.75" thickTop="1">
      <c r="B9" s="127" t="s">
        <v>129</v>
      </c>
      <c r="C9" s="131">
        <v>0.12</v>
      </c>
      <c r="D9" s="131">
        <v>0.22</v>
      </c>
      <c r="E9" s="131">
        <v>0.32</v>
      </c>
      <c r="F9" s="131">
        <v>0.6</v>
      </c>
      <c r="G9" s="131">
        <v>0.3</v>
      </c>
      <c r="H9" s="127">
        <f>F9-G9</f>
        <v>0.3</v>
      </c>
    </row>
    <row r="10" spans="1:10">
      <c r="B10" s="127" t="s">
        <v>130</v>
      </c>
      <c r="C10" s="131">
        <v>0.12</v>
      </c>
      <c r="D10" s="131">
        <v>0.22</v>
      </c>
      <c r="E10" s="131">
        <v>0.32</v>
      </c>
      <c r="F10" s="131">
        <v>0.6</v>
      </c>
      <c r="G10" s="131">
        <v>0.3</v>
      </c>
      <c r="H10" s="127">
        <f>F10-G10</f>
        <v>0.3</v>
      </c>
    </row>
    <row r="11" spans="1:10">
      <c r="B11" s="127" t="s">
        <v>133</v>
      </c>
      <c r="C11" s="131">
        <v>0.12</v>
      </c>
      <c r="D11" s="131">
        <v>0.22</v>
      </c>
      <c r="E11" s="131">
        <v>0.32</v>
      </c>
      <c r="F11" s="131">
        <v>0.6</v>
      </c>
      <c r="G11" s="131">
        <v>0.3</v>
      </c>
      <c r="H11" s="127">
        <f>F11-G11</f>
        <v>0.3</v>
      </c>
    </row>
    <row r="12" spans="1:10">
      <c r="B12" s="123" t="s">
        <v>113</v>
      </c>
      <c r="C12" s="123"/>
      <c r="D12" s="123"/>
      <c r="E12" s="123"/>
    </row>
    <row r="13" spans="1:10" ht="15.75" thickBot="1">
      <c r="B13" s="129"/>
      <c r="C13" s="128" t="s">
        <v>117</v>
      </c>
      <c r="D13" s="128" t="s">
        <v>25</v>
      </c>
      <c r="E13" s="128" t="s">
        <v>119</v>
      </c>
      <c r="F13" s="129" t="s">
        <v>134</v>
      </c>
    </row>
    <row r="14" spans="1:10" ht="15.75" thickTop="1">
      <c r="B14" s="124" t="s">
        <v>114</v>
      </c>
      <c r="C14" s="130">
        <v>19.600000000000001</v>
      </c>
      <c r="D14" s="131">
        <v>19.600000000000001</v>
      </c>
      <c r="E14" s="125">
        <f>D14+F14</f>
        <v>17.600000000000001</v>
      </c>
      <c r="F14" s="131">
        <f>-2</f>
        <v>-2</v>
      </c>
    </row>
    <row r="15" spans="1:10">
      <c r="B15" s="121" t="s">
        <v>115</v>
      </c>
      <c r="C15" s="123"/>
      <c r="D15" s="123"/>
      <c r="E15" s="123"/>
    </row>
    <row r="16" spans="1:10" ht="15.75" thickBot="1">
      <c r="B16" s="129"/>
      <c r="C16" s="128" t="s">
        <v>117</v>
      </c>
      <c r="D16" s="128" t="s">
        <v>25</v>
      </c>
      <c r="E16" s="128" t="s">
        <v>119</v>
      </c>
    </row>
    <row r="17" spans="2:9" ht="15.75" thickTop="1">
      <c r="B17" s="125" t="s">
        <v>116</v>
      </c>
      <c r="C17" s="127">
        <f>'実験1-試験片寸法-計算用'!C9</f>
        <v>207</v>
      </c>
      <c r="D17" s="127">
        <f>'実験1-試験片寸法-計算用'!C15</f>
        <v>206</v>
      </c>
      <c r="E17" s="127">
        <f>'実験1-試験片寸法-計算用'!C12</f>
        <v>206</v>
      </c>
    </row>
    <row r="18" spans="2:9">
      <c r="B18" s="121" t="s">
        <v>122</v>
      </c>
      <c r="C18" s="123"/>
      <c r="D18" s="123"/>
      <c r="E18" s="123"/>
    </row>
    <row r="19" spans="2:9" ht="15.75" thickBot="1">
      <c r="B19" s="129"/>
      <c r="C19" s="128" t="s">
        <v>117</v>
      </c>
      <c r="D19" s="128" t="s">
        <v>25</v>
      </c>
      <c r="E19" s="128" t="s">
        <v>119</v>
      </c>
      <c r="F19" s="129" t="s">
        <v>134</v>
      </c>
    </row>
    <row r="20" spans="2:9" ht="15.75" thickTop="1">
      <c r="B20" s="125" t="s">
        <v>123</v>
      </c>
      <c r="C20" s="127">
        <f>'実験1-試験片寸法-計算用'!K25</f>
        <v>31.88</v>
      </c>
      <c r="D20" s="127">
        <f>'実験1-試験片寸法-計算用'!E32</f>
        <v>32</v>
      </c>
      <c r="E20" s="125">
        <f>D20+F20</f>
        <v>32.200000000000003</v>
      </c>
      <c r="F20" s="131">
        <v>0.2</v>
      </c>
    </row>
    <row r="21" spans="2:9">
      <c r="B21" s="126" t="s">
        <v>124</v>
      </c>
      <c r="C21" s="124">
        <f>'実験1-試験片寸法-計算用'!L25</f>
        <v>4.9400000000000004</v>
      </c>
      <c r="D21" s="132">
        <f>'実験1-試験片寸法-計算用'!F32</f>
        <v>5</v>
      </c>
      <c r="E21" s="125">
        <f>D21+F21</f>
        <v>5.0999999999999996</v>
      </c>
      <c r="F21" s="130">
        <v>0.1</v>
      </c>
    </row>
    <row r="22" spans="2:9">
      <c r="B22" s="121" t="s">
        <v>120</v>
      </c>
      <c r="C22" s="123"/>
      <c r="D22" s="123"/>
      <c r="E22" s="123"/>
    </row>
    <row r="23" spans="2:9" ht="15.75" thickBot="1">
      <c r="B23" s="129"/>
      <c r="C23" s="128" t="s">
        <v>117</v>
      </c>
      <c r="D23" s="128" t="s">
        <v>25</v>
      </c>
      <c r="E23" s="128" t="s">
        <v>127</v>
      </c>
      <c r="F23" s="129" t="s">
        <v>128</v>
      </c>
      <c r="G23" s="129" t="s">
        <v>119</v>
      </c>
      <c r="H23" s="128" t="s">
        <v>127</v>
      </c>
      <c r="I23" s="128" t="s">
        <v>128</v>
      </c>
    </row>
    <row r="24" spans="2:9" ht="15.75" thickTop="1">
      <c r="B24" s="125" t="s">
        <v>121</v>
      </c>
      <c r="C24" s="127">
        <f>(C20*C21^2)/6</f>
        <v>129.66446133333335</v>
      </c>
      <c r="D24" s="127">
        <f>(D20*D21^2)/6</f>
        <v>133.33333333333334</v>
      </c>
      <c r="E24" s="127">
        <f>C24-D24</f>
        <v>-3.6688719999999932</v>
      </c>
      <c r="F24" s="133">
        <f>E24/D24</f>
        <v>-2.7516539999999947E-2</v>
      </c>
      <c r="G24" s="127">
        <f>E20*(E21^2)/6</f>
        <v>139.58700000000002</v>
      </c>
      <c r="H24" s="127">
        <f>G24-D24</f>
        <v>6.2536666666666747</v>
      </c>
      <c r="I24" s="127">
        <f>H24/D24</f>
        <v>4.6902500000000055E-2</v>
      </c>
    </row>
    <row r="25" spans="2:9">
      <c r="B25" s="121" t="s">
        <v>131</v>
      </c>
      <c r="C25" s="123"/>
      <c r="D25" s="123"/>
      <c r="E25" s="123"/>
    </row>
    <row r="26" spans="2:9" ht="15.75" thickBot="1">
      <c r="B26" s="128"/>
      <c r="C26" s="128" t="s">
        <v>117</v>
      </c>
      <c r="D26" s="128" t="s">
        <v>25</v>
      </c>
      <c r="E26" s="128" t="s">
        <v>127</v>
      </c>
      <c r="F26" s="129" t="s">
        <v>128</v>
      </c>
      <c r="G26" s="129" t="s">
        <v>119</v>
      </c>
      <c r="H26" s="128" t="s">
        <v>127</v>
      </c>
      <c r="I26" s="128" t="s">
        <v>128</v>
      </c>
    </row>
    <row r="27" spans="2:9" ht="15.75" thickTop="1">
      <c r="B27" s="127" t="s">
        <v>110</v>
      </c>
      <c r="C27" s="125">
        <f>($H$10/$F$10)*$C$14*C10</f>
        <v>1.1759999999999999</v>
      </c>
      <c r="D27" s="125">
        <f>($H$9/$F$9)*$D$14*C9</f>
        <v>1.1759999999999999</v>
      </c>
      <c r="E27" s="127">
        <f>C27-D27</f>
        <v>0</v>
      </c>
      <c r="F27" s="133">
        <f>E27/D27</f>
        <v>0</v>
      </c>
      <c r="G27" s="127">
        <f>(H11/F11)*E14*C11</f>
        <v>1.056</v>
      </c>
      <c r="H27" s="127">
        <f>G27-D27</f>
        <v>-0.11999999999999988</v>
      </c>
      <c r="I27" s="127">
        <f>H27/D27</f>
        <v>-0.10204081632653052</v>
      </c>
    </row>
    <row r="28" spans="2:9">
      <c r="B28" s="124" t="s">
        <v>111</v>
      </c>
      <c r="C28" s="125">
        <f>($H$10/$F$10)*$C$14*D10</f>
        <v>2.1560000000000001</v>
      </c>
      <c r="D28" s="125">
        <f>($H$9/$F$9)*$D$14*D9</f>
        <v>2.1560000000000001</v>
      </c>
      <c r="E28" s="127">
        <f t="shared" ref="E28:E29" si="0">C28-D28</f>
        <v>0</v>
      </c>
      <c r="F28" s="133">
        <f t="shared" ref="F28:F29" si="1">E28/D28</f>
        <v>0</v>
      </c>
      <c r="G28" s="124">
        <f>(H11/F11)*E14*D11</f>
        <v>1.9360000000000002</v>
      </c>
      <c r="H28" s="124">
        <f t="shared" ref="H28:H29" si="2">G28-D28</f>
        <v>-0.21999999999999997</v>
      </c>
      <c r="I28" s="124">
        <f t="shared" ref="I28:I29" si="3">H28/D28</f>
        <v>-0.10204081632653059</v>
      </c>
    </row>
    <row r="29" spans="2:9">
      <c r="B29" s="124" t="s">
        <v>103</v>
      </c>
      <c r="C29" s="126">
        <f>(G10/$F$10)*$C$14*(F10-E10)</f>
        <v>2.7439999999999998</v>
      </c>
      <c r="D29" s="126">
        <f>(H10/$F$10)*$C$14*(F10-E10)</f>
        <v>2.7439999999999998</v>
      </c>
      <c r="E29" s="127">
        <f t="shared" si="0"/>
        <v>0</v>
      </c>
      <c r="F29" s="133">
        <f t="shared" si="1"/>
        <v>0</v>
      </c>
      <c r="G29" s="124">
        <f>(G11/F11)*E14*E11</f>
        <v>2.8160000000000003</v>
      </c>
      <c r="H29" s="124">
        <f t="shared" si="2"/>
        <v>7.2000000000000508E-2</v>
      </c>
      <c r="I29" s="124">
        <f t="shared" si="3"/>
        <v>2.6239067055393774E-2</v>
      </c>
    </row>
    <row r="30" spans="2:9">
      <c r="B30" s="123" t="s">
        <v>132</v>
      </c>
      <c r="C30" s="123"/>
      <c r="D30" s="123"/>
      <c r="E30" s="123"/>
    </row>
    <row r="31" spans="2:9" ht="15.75" thickBot="1">
      <c r="B31" s="128"/>
      <c r="C31" s="128" t="s">
        <v>117</v>
      </c>
      <c r="D31" s="128" t="s">
        <v>25</v>
      </c>
      <c r="E31" s="128" t="s">
        <v>127</v>
      </c>
      <c r="F31" s="129" t="s">
        <v>128</v>
      </c>
      <c r="G31" s="139" t="s">
        <v>119</v>
      </c>
      <c r="H31" s="128" t="s">
        <v>127</v>
      </c>
      <c r="I31" s="128" t="s">
        <v>128</v>
      </c>
    </row>
    <row r="32" spans="2:9" ht="15.75" thickTop="1">
      <c r="B32" s="127" t="s">
        <v>135</v>
      </c>
      <c r="C32" s="134">
        <f>(C27/(($C$24*(10^(-9)))*($C$17*10^9)))*(10^6)</f>
        <v>43.814313975246336</v>
      </c>
      <c r="D32" s="134">
        <f>(D27/(($D$24*(10^(-9)))*($C$17*10^9)))*(10^6)</f>
        <v>42.6086956521739</v>
      </c>
      <c r="E32" s="127">
        <f>C32-D32</f>
        <v>1.2056183230724358</v>
      </c>
      <c r="F32" s="133">
        <f>E32/D32</f>
        <v>2.8295123908842888E-2</v>
      </c>
      <c r="G32" s="138">
        <f>(G27/($G$24*(10*(-9))*(1/$E$17*10^9)))*(10^6)</f>
        <v>-1.7315843643510261E-5</v>
      </c>
      <c r="H32" s="127">
        <f>G32-D32</f>
        <v>-42.608712968017542</v>
      </c>
      <c r="I32" s="127">
        <f>H32/D32</f>
        <v>-1.0000004063922487</v>
      </c>
    </row>
    <row r="33" spans="1:9">
      <c r="B33" s="124" t="s">
        <v>136</v>
      </c>
      <c r="C33" s="134">
        <f>(C28/(($C$24*(10^(-9)))*($C$17*10^9)))*(10^6)</f>
        <v>80.326242287951615</v>
      </c>
      <c r="D33" s="134">
        <f>(D28/(($D$24*(10^(-9)))*($C$17*10^9)))*(10^6)</f>
        <v>78.115942028985486</v>
      </c>
      <c r="E33" s="127">
        <f t="shared" ref="E33" si="4">C33-D33</f>
        <v>2.2103002589661287</v>
      </c>
      <c r="F33" s="133">
        <f t="shared" ref="F33:F34" si="5">E33/D33</f>
        <v>2.8295123908842843E-2</v>
      </c>
      <c r="G33" s="138">
        <f t="shared" ref="G33:G34" si="6">(G28/($G$24*(10*(-9))*(1/$E$17*10^9)))*(10^6)</f>
        <v>-3.1745713346435478E-5</v>
      </c>
      <c r="H33" s="124">
        <f t="shared" ref="H33" si="7">G33-D33</f>
        <v>-78.11597377469883</v>
      </c>
      <c r="I33" s="124">
        <f t="shared" ref="I33" si="8">H33/D33</f>
        <v>-1.0000004063922487</v>
      </c>
    </row>
    <row r="34" spans="1:9">
      <c r="B34" s="124" t="s">
        <v>137</v>
      </c>
      <c r="C34" s="134">
        <f>(C29/(($C$24*(10^(-9)))*($C$17*10^9)))*(10^6)</f>
        <v>102.23339927557477</v>
      </c>
      <c r="D34" s="134">
        <f>(D29/(($D$24*(10^(-9)))*($C$17*10^9)))*(10^6)</f>
        <v>99.420289855072426</v>
      </c>
      <c r="E34" s="135">
        <f>C34-D34</f>
        <v>2.813109420502343</v>
      </c>
      <c r="F34" s="133">
        <f t="shared" si="5"/>
        <v>2.8295123908842819E-2</v>
      </c>
      <c r="G34" s="138">
        <f t="shared" si="6"/>
        <v>-4.6175583049360695E-5</v>
      </c>
      <c r="H34" s="124">
        <f t="shared" ref="H34" si="9">G34-D34</f>
        <v>-99.420336030655477</v>
      </c>
      <c r="I34" s="124">
        <f t="shared" ref="I34" si="10">H34/D34</f>
        <v>-1.0000004644482843</v>
      </c>
    </row>
    <row r="35" spans="1:9">
      <c r="A35" s="78" t="s">
        <v>102</v>
      </c>
      <c r="B35" s="123"/>
      <c r="C35" s="123"/>
      <c r="D35" s="123"/>
      <c r="E35" s="123"/>
    </row>
    <row r="36" spans="1:9" ht="16.5">
      <c r="B36" s="180" t="s">
        <v>23</v>
      </c>
      <c r="C36" s="177" t="s">
        <v>28</v>
      </c>
      <c r="D36" s="178"/>
      <c r="E36" s="178"/>
      <c r="F36" s="178"/>
      <c r="G36" s="179"/>
    </row>
    <row r="37" spans="1:9" ht="15.75" thickBot="1">
      <c r="B37" s="181"/>
      <c r="C37" s="16" t="s">
        <v>14</v>
      </c>
      <c r="D37" s="16" t="s">
        <v>19</v>
      </c>
      <c r="E37" s="16" t="s">
        <v>20</v>
      </c>
      <c r="F37" s="85" t="s">
        <v>24</v>
      </c>
      <c r="G37" s="85" t="s">
        <v>25</v>
      </c>
    </row>
    <row r="38" spans="1:9" ht="15.75" thickTop="1">
      <c r="B38" s="15" t="s">
        <v>26</v>
      </c>
      <c r="C38" s="20">
        <v>-49</v>
      </c>
      <c r="D38" s="20">
        <v>-46.5</v>
      </c>
      <c r="E38" s="20">
        <v>-44</v>
      </c>
      <c r="F38" s="18">
        <f>AVERAGE(C38:E38)</f>
        <v>-46.5</v>
      </c>
      <c r="G38" s="136">
        <f>C32</f>
        <v>43.814313975246336</v>
      </c>
    </row>
    <row r="39" spans="1:9">
      <c r="B39" s="14" t="s">
        <v>27</v>
      </c>
      <c r="C39" s="21">
        <v>-89</v>
      </c>
      <c r="D39" s="21">
        <v>-85.75</v>
      </c>
      <c r="E39" s="21">
        <v>-82.25</v>
      </c>
      <c r="F39" s="18">
        <f t="shared" ref="F39:F40" si="11">AVERAGE(C39:E39)</f>
        <v>-85.666666666666671</v>
      </c>
      <c r="G39" s="137">
        <f>C33</f>
        <v>80.326242287951615</v>
      </c>
    </row>
    <row r="40" spans="1:9">
      <c r="B40" s="14" t="s">
        <v>29</v>
      </c>
      <c r="C40" s="21">
        <v>-203.75</v>
      </c>
      <c r="D40" s="21">
        <v>-214.25</v>
      </c>
      <c r="E40" s="21">
        <v>-218.5</v>
      </c>
      <c r="F40" s="18">
        <f t="shared" si="11"/>
        <v>-212.16666666666666</v>
      </c>
      <c r="G40" s="137">
        <f>C34*2</f>
        <v>204.46679855114954</v>
      </c>
    </row>
    <row r="41" spans="1:9">
      <c r="B41" s="19" t="s">
        <v>103</v>
      </c>
      <c r="C41" s="137">
        <f>C40/2</f>
        <v>-101.875</v>
      </c>
      <c r="D41" s="137">
        <f t="shared" ref="D41:F41" si="12">D40/2</f>
        <v>-107.125</v>
      </c>
      <c r="E41" s="137">
        <f t="shared" si="12"/>
        <v>-109.25</v>
      </c>
      <c r="F41" s="19">
        <f t="shared" si="12"/>
        <v>-106.08333333333333</v>
      </c>
      <c r="G41" s="137">
        <f>C34</f>
        <v>102.23339927557477</v>
      </c>
    </row>
    <row r="48" spans="1:9" ht="18" customHeight="1"/>
  </sheetData>
  <mergeCells count="5">
    <mergeCell ref="C36:G36"/>
    <mergeCell ref="B36:B37"/>
    <mergeCell ref="A1:B1"/>
    <mergeCell ref="B3:B4"/>
    <mergeCell ref="D3:J4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59"/>
  <sheetViews>
    <sheetView topLeftCell="A16" workbookViewId="0">
      <selection activeCell="B44" sqref="B44"/>
    </sheetView>
  </sheetViews>
  <sheetFormatPr defaultColWidth="13" defaultRowHeight="15"/>
  <cols>
    <col min="2" max="2" width="31.140625" customWidth="1"/>
    <col min="3" max="3" width="14.42578125" customWidth="1"/>
    <col min="4" max="4" width="16.140625" customWidth="1"/>
    <col min="5" max="5" width="25.140625" customWidth="1"/>
    <col min="6" max="6" width="24.28515625" customWidth="1"/>
    <col min="7" max="7" width="20.28515625" customWidth="1"/>
    <col min="8" max="8" width="34.28515625" customWidth="1"/>
  </cols>
  <sheetData>
    <row r="1" spans="1:10">
      <c r="A1" s="182" t="s">
        <v>149</v>
      </c>
      <c r="B1" s="182"/>
    </row>
    <row r="3" spans="1:10">
      <c r="B3" s="151" t="s">
        <v>55</v>
      </c>
      <c r="C3" s="48" t="s">
        <v>56</v>
      </c>
      <c r="D3" s="168" t="s">
        <v>107</v>
      </c>
      <c r="E3" s="169"/>
      <c r="F3" s="169"/>
      <c r="G3" s="169"/>
      <c r="H3" s="169"/>
      <c r="I3" s="169"/>
      <c r="J3" s="169"/>
    </row>
    <row r="4" spans="1:10">
      <c r="B4" s="151"/>
      <c r="C4" s="37" t="s">
        <v>63</v>
      </c>
      <c r="D4" s="169"/>
      <c r="E4" s="169"/>
      <c r="F4" s="169"/>
      <c r="G4" s="169"/>
      <c r="H4" s="169"/>
      <c r="I4" s="169"/>
      <c r="J4" s="169"/>
    </row>
    <row r="6" spans="1:10">
      <c r="A6" s="78" t="s">
        <v>108</v>
      </c>
    </row>
    <row r="7" spans="1:10">
      <c r="B7" t="s">
        <v>109</v>
      </c>
    </row>
    <row r="8" spans="1:10" ht="15.75" thickBot="1">
      <c r="B8" s="128"/>
      <c r="C8" s="128" t="s">
        <v>110</v>
      </c>
      <c r="D8" s="128" t="s">
        <v>111</v>
      </c>
      <c r="E8" s="128" t="s">
        <v>103</v>
      </c>
      <c r="F8" s="128" t="s">
        <v>112</v>
      </c>
      <c r="G8" s="129" t="s">
        <v>125</v>
      </c>
      <c r="H8" s="129" t="s">
        <v>126</v>
      </c>
    </row>
    <row r="9" spans="1:10" ht="15.75" thickTop="1">
      <c r="B9" s="127" t="s">
        <v>129</v>
      </c>
      <c r="C9" s="131">
        <v>0.12</v>
      </c>
      <c r="D9" s="131">
        <v>0.22</v>
      </c>
      <c r="E9" s="131">
        <v>0.32</v>
      </c>
      <c r="F9" s="131">
        <v>0.62</v>
      </c>
      <c r="G9" s="131">
        <v>0.35</v>
      </c>
      <c r="H9" s="127">
        <f>F9-G9</f>
        <v>0.27</v>
      </c>
    </row>
    <row r="10" spans="1:10">
      <c r="B10" s="127" t="s">
        <v>130</v>
      </c>
      <c r="C10" s="131">
        <v>0.12</v>
      </c>
      <c r="D10" s="131">
        <v>0.22</v>
      </c>
      <c r="E10" s="131">
        <v>0.32</v>
      </c>
      <c r="F10" s="131">
        <v>0.62</v>
      </c>
      <c r="G10" s="131">
        <v>0.35</v>
      </c>
      <c r="H10" s="127">
        <f>F10-G10</f>
        <v>0.27</v>
      </c>
    </row>
    <row r="11" spans="1:10">
      <c r="B11" s="127" t="s">
        <v>133</v>
      </c>
      <c r="C11" s="131">
        <v>0.12</v>
      </c>
      <c r="D11" s="131">
        <v>0.22</v>
      </c>
      <c r="E11" s="131">
        <v>0.32</v>
      </c>
      <c r="F11" s="131">
        <v>0.62</v>
      </c>
      <c r="G11" s="131">
        <v>0.35</v>
      </c>
      <c r="H11" s="127">
        <f>F11-G11</f>
        <v>0.27</v>
      </c>
    </row>
    <row r="12" spans="1:10">
      <c r="B12" s="123" t="s">
        <v>113</v>
      </c>
      <c r="C12" s="123"/>
      <c r="D12" s="123"/>
      <c r="E12" s="123"/>
      <c r="H12" s="123"/>
    </row>
    <row r="13" spans="1:10" ht="15.75" thickBot="1">
      <c r="B13" s="129"/>
      <c r="C13" s="128" t="s">
        <v>117</v>
      </c>
      <c r="D13" s="128" t="s">
        <v>25</v>
      </c>
      <c r="E13" s="128" t="s">
        <v>119</v>
      </c>
      <c r="F13" s="129" t="s">
        <v>134</v>
      </c>
      <c r="H13" s="123"/>
    </row>
    <row r="14" spans="1:10" ht="15.75" thickTop="1">
      <c r="B14" s="124" t="s">
        <v>114</v>
      </c>
      <c r="C14" s="130">
        <v>19.600000000000001</v>
      </c>
      <c r="D14" s="131">
        <v>19.600000000000001</v>
      </c>
      <c r="E14" s="125">
        <f>D14+F14</f>
        <v>17.600000000000001</v>
      </c>
      <c r="F14" s="131">
        <f>-2</f>
        <v>-2</v>
      </c>
      <c r="H14" s="123"/>
    </row>
    <row r="15" spans="1:10">
      <c r="B15" s="121" t="s">
        <v>115</v>
      </c>
      <c r="C15" s="123"/>
      <c r="D15" s="123"/>
      <c r="E15" s="123"/>
    </row>
    <row r="16" spans="1:10" ht="15.75" thickBot="1">
      <c r="B16" s="129"/>
      <c r="C16" s="128" t="s">
        <v>117</v>
      </c>
      <c r="D16" s="128" t="s">
        <v>25</v>
      </c>
      <c r="E16" s="128" t="s">
        <v>119</v>
      </c>
    </row>
    <row r="17" spans="1:9" ht="15.75" thickTop="1">
      <c r="B17" s="125" t="s">
        <v>116</v>
      </c>
      <c r="C17" s="127">
        <f>'実験1-試験片寸法-計算用'!C9</f>
        <v>207</v>
      </c>
      <c r="D17" s="127">
        <f>'実験1-試験片寸法-計算用'!C15</f>
        <v>206</v>
      </c>
      <c r="E17" s="127">
        <f>'実験1-試験片寸法-計算用'!C12</f>
        <v>206</v>
      </c>
    </row>
    <row r="18" spans="1:9">
      <c r="B18" s="121" t="s">
        <v>122</v>
      </c>
      <c r="C18" s="123"/>
      <c r="D18" s="123"/>
      <c r="E18" s="123"/>
    </row>
    <row r="19" spans="1:9" ht="15.75" thickBot="1">
      <c r="B19" s="129"/>
      <c r="C19" s="128" t="s">
        <v>117</v>
      </c>
      <c r="D19" s="128" t="s">
        <v>25</v>
      </c>
      <c r="E19" s="128" t="s">
        <v>119</v>
      </c>
      <c r="F19" s="129" t="s">
        <v>134</v>
      </c>
    </row>
    <row r="20" spans="1:9" ht="15.75" thickTop="1">
      <c r="B20" s="125" t="s">
        <v>123</v>
      </c>
      <c r="C20" s="127">
        <f>'実験1-試験片寸法-計算用'!K25</f>
        <v>31.88</v>
      </c>
      <c r="D20" s="127">
        <f>'実験1-試験片寸法-計算用'!E32</f>
        <v>32</v>
      </c>
      <c r="E20" s="125">
        <f>D20+F20</f>
        <v>32.200000000000003</v>
      </c>
      <c r="F20" s="131">
        <v>0.2</v>
      </c>
    </row>
    <row r="21" spans="1:9">
      <c r="B21" s="126" t="s">
        <v>124</v>
      </c>
      <c r="C21" s="124">
        <f>'実験1-試験片寸法-計算用'!L25</f>
        <v>4.9400000000000004</v>
      </c>
      <c r="D21" s="132">
        <f>'実験1-試験片寸法-計算用'!F32</f>
        <v>5</v>
      </c>
      <c r="E21" s="125">
        <f>D21+F21</f>
        <v>5.0999999999999996</v>
      </c>
      <c r="F21" s="130">
        <v>0.1</v>
      </c>
    </row>
    <row r="22" spans="1:9">
      <c r="B22" s="121" t="s">
        <v>120</v>
      </c>
      <c r="C22" s="123"/>
      <c r="D22" s="123"/>
      <c r="E22" s="123"/>
    </row>
    <row r="23" spans="1:9" ht="15.75" thickBot="1">
      <c r="B23" s="129"/>
      <c r="C23" s="128" t="s">
        <v>117</v>
      </c>
      <c r="D23" s="128" t="s">
        <v>25</v>
      </c>
      <c r="E23" s="128" t="s">
        <v>127</v>
      </c>
      <c r="F23" s="129" t="s">
        <v>128</v>
      </c>
      <c r="G23" s="129" t="s">
        <v>119</v>
      </c>
      <c r="H23" s="128" t="s">
        <v>127</v>
      </c>
      <c r="I23" s="128" t="s">
        <v>128</v>
      </c>
    </row>
    <row r="24" spans="1:9" ht="15.75" thickTop="1">
      <c r="B24" s="125" t="s">
        <v>121</v>
      </c>
      <c r="C24" s="127">
        <f>(C20*C21^2)/6</f>
        <v>129.66446133333335</v>
      </c>
      <c r="D24" s="127">
        <f>(D20*D21^2)/6</f>
        <v>133.33333333333334</v>
      </c>
      <c r="E24" s="127">
        <f>C24-D24</f>
        <v>-3.6688719999999932</v>
      </c>
      <c r="F24" s="133">
        <f>E24/D24</f>
        <v>-2.7516539999999947E-2</v>
      </c>
      <c r="G24" s="127">
        <f>E20*(E21^2)/6</f>
        <v>139.58700000000002</v>
      </c>
      <c r="H24" s="127">
        <f>G24-D24</f>
        <v>6.2536666666666747</v>
      </c>
      <c r="I24" s="133">
        <f>H24/D24</f>
        <v>4.6902500000000055E-2</v>
      </c>
    </row>
    <row r="25" spans="1:9">
      <c r="B25" s="121" t="s">
        <v>146</v>
      </c>
    </row>
    <row r="26" spans="1:9" ht="15.75" thickBot="1">
      <c r="B26" s="129"/>
      <c r="C26" s="128" t="s">
        <v>117</v>
      </c>
      <c r="D26" s="128" t="s">
        <v>25</v>
      </c>
      <c r="E26" s="128" t="s">
        <v>127</v>
      </c>
      <c r="F26" s="129" t="s">
        <v>128</v>
      </c>
      <c r="G26" s="129" t="s">
        <v>119</v>
      </c>
      <c r="H26" s="128" t="s">
        <v>127</v>
      </c>
      <c r="I26" s="128" t="s">
        <v>128</v>
      </c>
    </row>
    <row r="27" spans="1:9" ht="15.75" thickTop="1">
      <c r="B27" s="127" t="s">
        <v>147</v>
      </c>
      <c r="C27" s="127">
        <f>(H10*C14)/F10</f>
        <v>8.5354838709677434</v>
      </c>
      <c r="D27" s="127">
        <f>H9*D14/F9</f>
        <v>8.5354838709677434</v>
      </c>
      <c r="E27" s="127">
        <f>C27-D27</f>
        <v>0</v>
      </c>
      <c r="F27" s="133">
        <f>E27/D27</f>
        <v>0</v>
      </c>
      <c r="G27" s="127">
        <f>H11*E14/F11</f>
        <v>7.6645161290322594</v>
      </c>
      <c r="H27" s="127">
        <f>G27-D27</f>
        <v>-0.87096774193548399</v>
      </c>
      <c r="I27" s="133">
        <f>H27/D27</f>
        <v>-0.10204081632653061</v>
      </c>
    </row>
    <row r="28" spans="1:9">
      <c r="B28" s="124" t="s">
        <v>148</v>
      </c>
      <c r="C28" s="124">
        <f>G10*C14/F10</f>
        <v>11.064516129032258</v>
      </c>
      <c r="D28" s="124">
        <f>G9*D14/F9</f>
        <v>11.064516129032258</v>
      </c>
      <c r="E28" s="127">
        <f>C28-D28</f>
        <v>0</v>
      </c>
      <c r="F28" s="133">
        <f>E28/D28</f>
        <v>0</v>
      </c>
      <c r="G28" s="127">
        <f>G11*E14/F11</f>
        <v>9.935483870967742</v>
      </c>
      <c r="H28" s="127">
        <f>G28-D28</f>
        <v>-1.129032258064516</v>
      </c>
      <c r="I28" s="133">
        <f>H28/D28</f>
        <v>-0.1020408163265306</v>
      </c>
    </row>
    <row r="29" spans="1:9">
      <c r="A29" s="78" t="s">
        <v>145</v>
      </c>
      <c r="B29" s="184" t="s">
        <v>151</v>
      </c>
      <c r="C29" s="184"/>
      <c r="D29" s="184"/>
      <c r="E29" s="184"/>
      <c r="F29" s="184"/>
    </row>
    <row r="34" spans="1:16" ht="15.75" thickBot="1">
      <c r="A34" s="183" t="s">
        <v>143</v>
      </c>
      <c r="B34" s="183"/>
      <c r="C34" s="183"/>
      <c r="D34" s="183"/>
      <c r="E34" s="183" t="s">
        <v>142</v>
      </c>
      <c r="F34" s="183"/>
      <c r="G34" s="183"/>
      <c r="H34" s="183"/>
      <c r="I34" s="183" t="s">
        <v>141</v>
      </c>
      <c r="J34" s="183"/>
      <c r="K34" s="183"/>
      <c r="L34" s="183"/>
      <c r="M34" s="183" t="s">
        <v>150</v>
      </c>
      <c r="N34" s="183"/>
      <c r="O34" s="183"/>
      <c r="P34" s="183"/>
    </row>
    <row r="35" spans="1:16" ht="15.75" thickTop="1"/>
    <row r="51" spans="1:12">
      <c r="B51" s="104"/>
    </row>
    <row r="57" spans="1:12" ht="15.75" thickBot="1">
      <c r="A57" s="183" t="s">
        <v>25</v>
      </c>
      <c r="B57" s="183"/>
      <c r="C57" s="183"/>
      <c r="D57" s="183"/>
      <c r="E57" s="183" t="s">
        <v>117</v>
      </c>
      <c r="F57" s="183"/>
      <c r="G57" s="183"/>
      <c r="H57" s="183"/>
      <c r="I57" s="183" t="s">
        <v>117</v>
      </c>
      <c r="J57" s="183"/>
      <c r="K57" s="183"/>
      <c r="L57" s="183"/>
    </row>
    <row r="58" spans="1:12" ht="16.5" thickTop="1" thickBot="1">
      <c r="A58" s="141" t="s">
        <v>138</v>
      </c>
      <c r="B58" s="141" t="s">
        <v>139</v>
      </c>
      <c r="C58" s="141" t="s">
        <v>138</v>
      </c>
      <c r="D58" s="141" t="s">
        <v>140</v>
      </c>
      <c r="E58" s="141" t="s">
        <v>138</v>
      </c>
      <c r="F58" s="141" t="s">
        <v>139</v>
      </c>
      <c r="G58" s="141" t="s">
        <v>138</v>
      </c>
      <c r="H58" s="141" t="s">
        <v>140</v>
      </c>
      <c r="I58" s="141" t="s">
        <v>138</v>
      </c>
      <c r="J58" s="141" t="s">
        <v>139</v>
      </c>
      <c r="K58" s="141" t="s">
        <v>138</v>
      </c>
      <c r="L58" s="141" t="s">
        <v>140</v>
      </c>
    </row>
    <row r="59" spans="1:12">
      <c r="A59">
        <v>0.01</v>
      </c>
      <c r="I59" s="104" t="s">
        <v>138</v>
      </c>
      <c r="J59" s="104" t="s">
        <v>139</v>
      </c>
      <c r="K59" s="104" t="s">
        <v>138</v>
      </c>
      <c r="L59" s="104" t="s">
        <v>140</v>
      </c>
    </row>
    <row r="60" spans="1:12">
      <c r="A60">
        <v>0.02</v>
      </c>
      <c r="B60">
        <f>A60-A59</f>
        <v>0.01</v>
      </c>
    </row>
    <row r="61" spans="1:12">
      <c r="A61">
        <v>0.03</v>
      </c>
      <c r="B61">
        <f t="shared" ref="B61:B124" si="0">A61-A60</f>
        <v>9.9999999999999985E-3</v>
      </c>
    </row>
    <row r="62" spans="1:12">
      <c r="A62">
        <v>0.04</v>
      </c>
      <c r="B62">
        <f t="shared" si="0"/>
        <v>1.0000000000000002E-2</v>
      </c>
    </row>
    <row r="63" spans="1:12">
      <c r="A63">
        <v>0.05</v>
      </c>
      <c r="B63">
        <f t="shared" si="0"/>
        <v>1.0000000000000002E-2</v>
      </c>
    </row>
    <row r="64" spans="1:12">
      <c r="A64">
        <v>6.0000000000000005E-2</v>
      </c>
      <c r="B64">
        <f t="shared" si="0"/>
        <v>1.0000000000000002E-2</v>
      </c>
    </row>
    <row r="65" spans="1:2">
      <c r="A65">
        <v>7.0000000000000007E-2</v>
      </c>
      <c r="B65">
        <f t="shared" si="0"/>
        <v>1.0000000000000002E-2</v>
      </c>
    </row>
    <row r="66" spans="1:2">
      <c r="A66">
        <v>0.08</v>
      </c>
      <c r="B66">
        <f t="shared" si="0"/>
        <v>9.999999999999995E-3</v>
      </c>
    </row>
    <row r="67" spans="1:2">
      <c r="A67">
        <v>0.09</v>
      </c>
      <c r="B67">
        <f t="shared" si="0"/>
        <v>9.999999999999995E-3</v>
      </c>
    </row>
    <row r="68" spans="1:2">
      <c r="A68">
        <v>9.9999999999999992E-2</v>
      </c>
      <c r="B68">
        <f t="shared" si="0"/>
        <v>9.999999999999995E-3</v>
      </c>
    </row>
    <row r="69" spans="1:2">
      <c r="A69">
        <v>0.10999999999999999</v>
      </c>
      <c r="B69">
        <f t="shared" si="0"/>
        <v>9.999999999999995E-3</v>
      </c>
    </row>
    <row r="70" spans="1:2">
      <c r="A70">
        <v>0.11999999999999998</v>
      </c>
      <c r="B70">
        <f t="shared" si="0"/>
        <v>9.999999999999995E-3</v>
      </c>
    </row>
    <row r="71" spans="1:2">
      <c r="A71">
        <v>0.12999999999999998</v>
      </c>
      <c r="B71">
        <f t="shared" si="0"/>
        <v>9.999999999999995E-3</v>
      </c>
    </row>
    <row r="72" spans="1:2">
      <c r="A72">
        <v>0.13999999999999999</v>
      </c>
      <c r="B72">
        <f t="shared" si="0"/>
        <v>1.0000000000000009E-2</v>
      </c>
    </row>
    <row r="73" spans="1:2">
      <c r="A73">
        <v>0.15</v>
      </c>
      <c r="B73">
        <f t="shared" si="0"/>
        <v>1.0000000000000009E-2</v>
      </c>
    </row>
    <row r="74" spans="1:2">
      <c r="A74">
        <v>0.16</v>
      </c>
      <c r="B74">
        <f t="shared" si="0"/>
        <v>1.0000000000000009E-2</v>
      </c>
    </row>
    <row r="75" spans="1:2">
      <c r="A75">
        <v>0.17</v>
      </c>
      <c r="B75">
        <f t="shared" si="0"/>
        <v>1.0000000000000009E-2</v>
      </c>
    </row>
    <row r="76" spans="1:2">
      <c r="A76">
        <v>0.18000000000000002</v>
      </c>
      <c r="B76">
        <f t="shared" si="0"/>
        <v>1.0000000000000009E-2</v>
      </c>
    </row>
    <row r="77" spans="1:2">
      <c r="A77">
        <v>0.19000000000000003</v>
      </c>
      <c r="B77">
        <f t="shared" si="0"/>
        <v>1.0000000000000009E-2</v>
      </c>
    </row>
    <row r="78" spans="1:2">
      <c r="A78">
        <v>0.20000000000000004</v>
      </c>
      <c r="B78">
        <f t="shared" si="0"/>
        <v>1.0000000000000009E-2</v>
      </c>
    </row>
    <row r="79" spans="1:2">
      <c r="A79">
        <v>0.21000000000000005</v>
      </c>
      <c r="B79">
        <f t="shared" si="0"/>
        <v>1.0000000000000009E-2</v>
      </c>
    </row>
    <row r="80" spans="1:2">
      <c r="A80">
        <v>0.22000000000000006</v>
      </c>
      <c r="B80">
        <f t="shared" si="0"/>
        <v>1.0000000000000009E-2</v>
      </c>
    </row>
    <row r="81" spans="1:2">
      <c r="A81">
        <v>0.23000000000000007</v>
      </c>
      <c r="B81">
        <f>A81-A80</f>
        <v>1.0000000000000009E-2</v>
      </c>
    </row>
    <row r="82" spans="1:2">
      <c r="A82">
        <v>0.24000000000000007</v>
      </c>
      <c r="B82">
        <f t="shared" si="0"/>
        <v>1.0000000000000009E-2</v>
      </c>
    </row>
    <row r="83" spans="1:2">
      <c r="A83">
        <v>0.25000000000000006</v>
      </c>
      <c r="B83">
        <f t="shared" si="0"/>
        <v>9.9999999999999811E-3</v>
      </c>
    </row>
    <row r="84" spans="1:2">
      <c r="A84">
        <v>0.26000000000000006</v>
      </c>
      <c r="B84">
        <f t="shared" si="0"/>
        <v>1.0000000000000009E-2</v>
      </c>
    </row>
    <row r="85" spans="1:2">
      <c r="A85">
        <v>0.27000000000000007</v>
      </c>
      <c r="B85">
        <f t="shared" si="0"/>
        <v>1.0000000000000009E-2</v>
      </c>
    </row>
    <row r="86" spans="1:2">
      <c r="A86">
        <v>0.28000000000000008</v>
      </c>
      <c r="B86">
        <f t="shared" si="0"/>
        <v>1.0000000000000009E-2</v>
      </c>
    </row>
    <row r="87" spans="1:2">
      <c r="A87">
        <v>0.29000000000000009</v>
      </c>
      <c r="B87">
        <f t="shared" si="0"/>
        <v>1.0000000000000009E-2</v>
      </c>
    </row>
    <row r="88" spans="1:2">
      <c r="A88">
        <v>0.3000000000000001</v>
      </c>
      <c r="B88">
        <f t="shared" si="0"/>
        <v>1.0000000000000009E-2</v>
      </c>
    </row>
    <row r="89" spans="1:2">
      <c r="A89">
        <v>0.31000000000000011</v>
      </c>
      <c r="B89">
        <f t="shared" si="0"/>
        <v>1.0000000000000009E-2</v>
      </c>
    </row>
    <row r="90" spans="1:2">
      <c r="A90">
        <v>0.32000000000000012</v>
      </c>
      <c r="B90">
        <f t="shared" si="0"/>
        <v>1.0000000000000009E-2</v>
      </c>
    </row>
    <row r="91" spans="1:2">
      <c r="A91">
        <v>0.33000000000000013</v>
      </c>
      <c r="B91">
        <f t="shared" si="0"/>
        <v>1.0000000000000009E-2</v>
      </c>
    </row>
    <row r="92" spans="1:2">
      <c r="A92">
        <v>0.34000000000000014</v>
      </c>
      <c r="B92">
        <f t="shared" si="0"/>
        <v>1.0000000000000009E-2</v>
      </c>
    </row>
    <row r="93" spans="1:2">
      <c r="A93">
        <v>0.35000000000000014</v>
      </c>
      <c r="B93">
        <f t="shared" si="0"/>
        <v>1.0000000000000009E-2</v>
      </c>
    </row>
    <row r="94" spans="1:2">
      <c r="A94">
        <v>0.36000000000000015</v>
      </c>
      <c r="B94">
        <f t="shared" si="0"/>
        <v>1.0000000000000009E-2</v>
      </c>
    </row>
    <row r="95" spans="1:2">
      <c r="A95">
        <v>0.37000000000000016</v>
      </c>
      <c r="B95">
        <f>A95-A94</f>
        <v>1.0000000000000009E-2</v>
      </c>
    </row>
    <row r="96" spans="1:2">
      <c r="A96">
        <v>0.38000000000000017</v>
      </c>
      <c r="B96">
        <f t="shared" si="0"/>
        <v>1.0000000000000009E-2</v>
      </c>
    </row>
    <row r="97" spans="1:2">
      <c r="A97">
        <v>0.39000000000000018</v>
      </c>
      <c r="B97">
        <f t="shared" si="0"/>
        <v>1.0000000000000009E-2</v>
      </c>
    </row>
    <row r="98" spans="1:2">
      <c r="A98">
        <v>0.40000000000000019</v>
      </c>
      <c r="B98">
        <f t="shared" si="0"/>
        <v>1.0000000000000009E-2</v>
      </c>
    </row>
    <row r="99" spans="1:2">
      <c r="A99">
        <v>0.4100000000000002</v>
      </c>
      <c r="B99">
        <f t="shared" si="0"/>
        <v>1.0000000000000009E-2</v>
      </c>
    </row>
    <row r="100" spans="1:2">
      <c r="A100">
        <v>0.42000000000000021</v>
      </c>
      <c r="B100">
        <f t="shared" si="0"/>
        <v>1.0000000000000009E-2</v>
      </c>
    </row>
    <row r="101" spans="1:2">
      <c r="A101">
        <v>0.43000000000000022</v>
      </c>
      <c r="B101">
        <f t="shared" si="0"/>
        <v>1.0000000000000009E-2</v>
      </c>
    </row>
    <row r="102" spans="1:2">
      <c r="A102">
        <v>0.44000000000000022</v>
      </c>
      <c r="B102">
        <f t="shared" si="0"/>
        <v>1.0000000000000009E-2</v>
      </c>
    </row>
    <row r="103" spans="1:2">
      <c r="A103">
        <v>0.45000000000000023</v>
      </c>
      <c r="B103">
        <f t="shared" si="0"/>
        <v>1.0000000000000009E-2</v>
      </c>
    </row>
    <row r="104" spans="1:2">
      <c r="A104">
        <v>0.46000000000000024</v>
      </c>
      <c r="B104">
        <f t="shared" si="0"/>
        <v>1.0000000000000009E-2</v>
      </c>
    </row>
    <row r="105" spans="1:2">
      <c r="A105">
        <v>0.47000000000000025</v>
      </c>
      <c r="B105">
        <f t="shared" si="0"/>
        <v>1.0000000000000009E-2</v>
      </c>
    </row>
    <row r="106" spans="1:2">
      <c r="A106">
        <v>0.48000000000000026</v>
      </c>
      <c r="B106">
        <f t="shared" si="0"/>
        <v>1.0000000000000009E-2</v>
      </c>
    </row>
    <row r="107" spans="1:2">
      <c r="A107">
        <v>0.49000000000000027</v>
      </c>
      <c r="B107">
        <f t="shared" si="0"/>
        <v>1.0000000000000009E-2</v>
      </c>
    </row>
    <row r="108" spans="1:2">
      <c r="A108">
        <v>0.50000000000000022</v>
      </c>
      <c r="B108">
        <f t="shared" si="0"/>
        <v>9.9999999999999534E-3</v>
      </c>
    </row>
    <row r="109" spans="1:2">
      <c r="A109">
        <v>0.51000000000000023</v>
      </c>
      <c r="B109">
        <f t="shared" si="0"/>
        <v>1.0000000000000009E-2</v>
      </c>
    </row>
    <row r="110" spans="1:2">
      <c r="A110">
        <v>0.52000000000000024</v>
      </c>
      <c r="B110">
        <f t="shared" si="0"/>
        <v>1.0000000000000009E-2</v>
      </c>
    </row>
    <row r="111" spans="1:2">
      <c r="A111">
        <v>0.53000000000000025</v>
      </c>
      <c r="B111">
        <f t="shared" si="0"/>
        <v>1.0000000000000009E-2</v>
      </c>
    </row>
    <row r="112" spans="1:2">
      <c r="A112">
        <v>0.54000000000000026</v>
      </c>
      <c r="B112">
        <f t="shared" si="0"/>
        <v>1.0000000000000009E-2</v>
      </c>
    </row>
    <row r="113" spans="1:2">
      <c r="A113">
        <v>0.55000000000000027</v>
      </c>
      <c r="B113">
        <f t="shared" si="0"/>
        <v>1.0000000000000009E-2</v>
      </c>
    </row>
    <row r="114" spans="1:2">
      <c r="A114">
        <v>0.56000000000000028</v>
      </c>
      <c r="B114">
        <f t="shared" si="0"/>
        <v>1.0000000000000009E-2</v>
      </c>
    </row>
    <row r="115" spans="1:2">
      <c r="A115">
        <v>0.57000000000000028</v>
      </c>
      <c r="B115">
        <f t="shared" si="0"/>
        <v>1.0000000000000009E-2</v>
      </c>
    </row>
    <row r="116" spans="1:2">
      <c r="A116">
        <v>0.58000000000000029</v>
      </c>
      <c r="B116">
        <f t="shared" si="0"/>
        <v>1.0000000000000009E-2</v>
      </c>
    </row>
    <row r="117" spans="1:2">
      <c r="A117">
        <v>0.5900000000000003</v>
      </c>
      <c r="B117">
        <f t="shared" si="0"/>
        <v>1.0000000000000009E-2</v>
      </c>
    </row>
    <row r="118" spans="1:2">
      <c r="A118">
        <v>0.60000000000000031</v>
      </c>
      <c r="B118">
        <f t="shared" si="0"/>
        <v>1.0000000000000009E-2</v>
      </c>
    </row>
    <row r="119" spans="1:2">
      <c r="A119">
        <v>0.61000000000000032</v>
      </c>
      <c r="B119">
        <f t="shared" si="0"/>
        <v>1.0000000000000009E-2</v>
      </c>
    </row>
    <row r="120" spans="1:2">
      <c r="A120">
        <v>0.62000000000000033</v>
      </c>
      <c r="B120">
        <f t="shared" si="0"/>
        <v>1.0000000000000009E-2</v>
      </c>
    </row>
    <row r="121" spans="1:2">
      <c r="A121">
        <v>0.63000000000000034</v>
      </c>
      <c r="B121">
        <f t="shared" si="0"/>
        <v>1.0000000000000009E-2</v>
      </c>
    </row>
    <row r="122" spans="1:2">
      <c r="A122">
        <v>0.64000000000000035</v>
      </c>
      <c r="B122">
        <f t="shared" si="0"/>
        <v>1.0000000000000009E-2</v>
      </c>
    </row>
    <row r="123" spans="1:2">
      <c r="A123">
        <v>0.65000000000000036</v>
      </c>
      <c r="B123">
        <f t="shared" si="0"/>
        <v>1.0000000000000009E-2</v>
      </c>
    </row>
    <row r="124" spans="1:2">
      <c r="A124">
        <v>0.66000000000000036</v>
      </c>
      <c r="B124">
        <f t="shared" si="0"/>
        <v>1.0000000000000009E-2</v>
      </c>
    </row>
    <row r="125" spans="1:2">
      <c r="A125">
        <v>0.67000000000000037</v>
      </c>
      <c r="B125">
        <f t="shared" ref="B125:B168" si="1">A125-A124</f>
        <v>1.0000000000000009E-2</v>
      </c>
    </row>
    <row r="126" spans="1:2">
      <c r="A126">
        <v>0.68000000000000038</v>
      </c>
      <c r="B126">
        <f t="shared" si="1"/>
        <v>1.0000000000000009E-2</v>
      </c>
    </row>
    <row r="127" spans="1:2">
      <c r="A127">
        <v>0.69000000000000039</v>
      </c>
      <c r="B127">
        <f t="shared" si="1"/>
        <v>1.0000000000000009E-2</v>
      </c>
    </row>
    <row r="128" spans="1:2">
      <c r="A128">
        <v>0.7000000000000004</v>
      </c>
      <c r="B128">
        <f t="shared" si="1"/>
        <v>1.0000000000000009E-2</v>
      </c>
    </row>
    <row r="129" spans="1:2">
      <c r="A129">
        <v>0.71000000000000041</v>
      </c>
      <c r="B129">
        <f t="shared" si="1"/>
        <v>1.0000000000000009E-2</v>
      </c>
    </row>
    <row r="130" spans="1:2">
      <c r="A130">
        <v>0.72000000000000042</v>
      </c>
      <c r="B130">
        <f t="shared" si="1"/>
        <v>1.0000000000000009E-2</v>
      </c>
    </row>
    <row r="131" spans="1:2">
      <c r="A131">
        <v>0.73000000000000043</v>
      </c>
      <c r="B131">
        <f t="shared" si="1"/>
        <v>1.0000000000000009E-2</v>
      </c>
    </row>
    <row r="132" spans="1:2">
      <c r="A132">
        <v>0.74000000000000044</v>
      </c>
      <c r="B132">
        <f t="shared" si="1"/>
        <v>1.0000000000000009E-2</v>
      </c>
    </row>
    <row r="133" spans="1:2">
      <c r="A133">
        <v>0.75000000000000044</v>
      </c>
      <c r="B133">
        <f t="shared" si="1"/>
        <v>1.0000000000000009E-2</v>
      </c>
    </row>
    <row r="134" spans="1:2">
      <c r="A134">
        <v>0.76000000000000045</v>
      </c>
      <c r="B134">
        <f t="shared" si="1"/>
        <v>1.0000000000000009E-2</v>
      </c>
    </row>
    <row r="135" spans="1:2">
      <c r="A135">
        <v>0.77000000000000046</v>
      </c>
      <c r="B135">
        <f t="shared" si="1"/>
        <v>1.0000000000000009E-2</v>
      </c>
    </row>
    <row r="136" spans="1:2">
      <c r="A136">
        <v>0.78000000000000047</v>
      </c>
      <c r="B136">
        <f t="shared" si="1"/>
        <v>1.0000000000000009E-2</v>
      </c>
    </row>
    <row r="137" spans="1:2">
      <c r="A137">
        <v>0.79000000000000048</v>
      </c>
      <c r="B137">
        <f t="shared" si="1"/>
        <v>1.0000000000000009E-2</v>
      </c>
    </row>
    <row r="138" spans="1:2">
      <c r="A138">
        <v>0.80000000000000049</v>
      </c>
      <c r="B138">
        <f t="shared" si="1"/>
        <v>1.0000000000000009E-2</v>
      </c>
    </row>
    <row r="139" spans="1:2">
      <c r="A139">
        <v>0.8100000000000005</v>
      </c>
      <c r="B139">
        <f t="shared" si="1"/>
        <v>1.0000000000000009E-2</v>
      </c>
    </row>
    <row r="140" spans="1:2">
      <c r="A140">
        <v>0.82000000000000051</v>
      </c>
      <c r="B140">
        <f t="shared" si="1"/>
        <v>1.0000000000000009E-2</v>
      </c>
    </row>
    <row r="141" spans="1:2">
      <c r="A141">
        <v>0.83000000000000052</v>
      </c>
      <c r="B141">
        <f t="shared" si="1"/>
        <v>1.0000000000000009E-2</v>
      </c>
    </row>
    <row r="142" spans="1:2">
      <c r="A142">
        <v>0.84000000000000052</v>
      </c>
      <c r="B142">
        <f t="shared" si="1"/>
        <v>1.0000000000000009E-2</v>
      </c>
    </row>
    <row r="143" spans="1:2">
      <c r="A143">
        <v>0.85000000000000053</v>
      </c>
      <c r="B143">
        <f t="shared" si="1"/>
        <v>1.0000000000000009E-2</v>
      </c>
    </row>
    <row r="144" spans="1:2">
      <c r="A144">
        <v>0.86000000000000054</v>
      </c>
      <c r="B144">
        <f t="shared" si="1"/>
        <v>1.0000000000000009E-2</v>
      </c>
    </row>
    <row r="145" spans="1:2">
      <c r="A145">
        <v>0.87000000000000055</v>
      </c>
      <c r="B145">
        <f t="shared" si="1"/>
        <v>1.0000000000000009E-2</v>
      </c>
    </row>
    <row r="146" spans="1:2">
      <c r="A146">
        <v>0.88000000000000056</v>
      </c>
      <c r="B146">
        <f t="shared" si="1"/>
        <v>1.0000000000000009E-2</v>
      </c>
    </row>
    <row r="147" spans="1:2">
      <c r="A147">
        <v>0.89000000000000057</v>
      </c>
      <c r="B147">
        <f t="shared" si="1"/>
        <v>1.0000000000000009E-2</v>
      </c>
    </row>
    <row r="148" spans="1:2">
      <c r="A148">
        <v>0.90000000000000058</v>
      </c>
      <c r="B148">
        <f t="shared" si="1"/>
        <v>1.0000000000000009E-2</v>
      </c>
    </row>
    <row r="149" spans="1:2">
      <c r="A149">
        <v>0.91000000000000059</v>
      </c>
      <c r="B149">
        <f t="shared" si="1"/>
        <v>1.0000000000000009E-2</v>
      </c>
    </row>
    <row r="150" spans="1:2">
      <c r="A150">
        <v>0.9200000000000006</v>
      </c>
      <c r="B150">
        <f t="shared" si="1"/>
        <v>1.0000000000000009E-2</v>
      </c>
    </row>
    <row r="151" spans="1:2">
      <c r="A151">
        <v>0.9300000000000006</v>
      </c>
      <c r="B151">
        <f t="shared" si="1"/>
        <v>1.0000000000000009E-2</v>
      </c>
    </row>
    <row r="152" spans="1:2">
      <c r="A152">
        <v>0.94000000000000061</v>
      </c>
      <c r="B152">
        <f t="shared" si="1"/>
        <v>1.0000000000000009E-2</v>
      </c>
    </row>
    <row r="153" spans="1:2">
      <c r="A153">
        <v>0.95000000000000062</v>
      </c>
      <c r="B153">
        <f t="shared" si="1"/>
        <v>1.0000000000000009E-2</v>
      </c>
    </row>
    <row r="154" spans="1:2">
      <c r="A154">
        <v>0.96000000000000063</v>
      </c>
      <c r="B154">
        <f t="shared" si="1"/>
        <v>1.0000000000000009E-2</v>
      </c>
    </row>
    <row r="155" spans="1:2">
      <c r="A155">
        <v>0.97000000000000064</v>
      </c>
      <c r="B155">
        <f t="shared" si="1"/>
        <v>1.0000000000000009E-2</v>
      </c>
    </row>
    <row r="156" spans="1:2">
      <c r="A156">
        <v>0.98000000000000065</v>
      </c>
      <c r="B156">
        <f t="shared" si="1"/>
        <v>1.0000000000000009E-2</v>
      </c>
    </row>
    <row r="157" spans="1:2">
      <c r="A157">
        <v>0.99000000000000066</v>
      </c>
      <c r="B157">
        <f t="shared" si="1"/>
        <v>1.0000000000000009E-2</v>
      </c>
    </row>
    <row r="158" spans="1:2">
      <c r="A158">
        <v>1.0000000000000007</v>
      </c>
      <c r="B158">
        <f t="shared" si="1"/>
        <v>1.0000000000000009E-2</v>
      </c>
    </row>
    <row r="159" spans="1:2">
      <c r="A159">
        <v>1.0100000000000007</v>
      </c>
      <c r="B159">
        <f t="shared" si="1"/>
        <v>1.0000000000000009E-2</v>
      </c>
    </row>
    <row r="160" spans="1:2">
      <c r="A160">
        <v>1.0200000000000007</v>
      </c>
      <c r="B160">
        <f t="shared" si="1"/>
        <v>1.0000000000000009E-2</v>
      </c>
    </row>
    <row r="161" spans="1:2">
      <c r="A161">
        <v>1.0300000000000007</v>
      </c>
      <c r="B161">
        <f t="shared" si="1"/>
        <v>1.0000000000000009E-2</v>
      </c>
    </row>
    <row r="162" spans="1:2">
      <c r="A162">
        <v>1.0400000000000007</v>
      </c>
      <c r="B162">
        <f t="shared" si="1"/>
        <v>1.0000000000000009E-2</v>
      </c>
    </row>
    <row r="163" spans="1:2">
      <c r="A163">
        <v>1.0500000000000007</v>
      </c>
      <c r="B163">
        <f t="shared" si="1"/>
        <v>1.0000000000000009E-2</v>
      </c>
    </row>
    <row r="164" spans="1:2">
      <c r="A164">
        <v>1.0600000000000007</v>
      </c>
      <c r="B164">
        <f t="shared" si="1"/>
        <v>1.0000000000000009E-2</v>
      </c>
    </row>
    <row r="165" spans="1:2">
      <c r="A165">
        <v>1.0700000000000007</v>
      </c>
      <c r="B165">
        <f t="shared" si="1"/>
        <v>1.0000000000000009E-2</v>
      </c>
    </row>
    <row r="166" spans="1:2">
      <c r="A166">
        <v>1.0800000000000007</v>
      </c>
      <c r="B166">
        <f t="shared" si="1"/>
        <v>1.0000000000000009E-2</v>
      </c>
    </row>
    <row r="167" spans="1:2">
      <c r="A167">
        <v>1.0900000000000007</v>
      </c>
      <c r="B167">
        <f t="shared" si="1"/>
        <v>1.0000000000000009E-2</v>
      </c>
    </row>
    <row r="168" spans="1:2">
      <c r="A168">
        <v>1.1000000000000008</v>
      </c>
      <c r="B168">
        <f t="shared" si="1"/>
        <v>1.0000000000000009E-2</v>
      </c>
    </row>
    <row r="169" spans="1:2">
      <c r="A169">
        <v>1.1100000000000008</v>
      </c>
      <c r="B169">
        <f>A169-A168</f>
        <v>1.0000000000000009E-2</v>
      </c>
    </row>
    <row r="170" spans="1:2">
      <c r="A170">
        <v>1.1200000000000008</v>
      </c>
      <c r="B170">
        <f t="shared" ref="B170:B233" si="2">A170-A169</f>
        <v>1.0000000000000009E-2</v>
      </c>
    </row>
    <row r="171" spans="1:2">
      <c r="A171">
        <v>1.1300000000000008</v>
      </c>
      <c r="B171">
        <f t="shared" si="2"/>
        <v>1.0000000000000009E-2</v>
      </c>
    </row>
    <row r="172" spans="1:2">
      <c r="A172">
        <v>1.1400000000000008</v>
      </c>
      <c r="B172">
        <f t="shared" si="2"/>
        <v>1.0000000000000009E-2</v>
      </c>
    </row>
    <row r="173" spans="1:2">
      <c r="A173">
        <v>1.1500000000000008</v>
      </c>
      <c r="B173">
        <f t="shared" si="2"/>
        <v>1.0000000000000009E-2</v>
      </c>
    </row>
    <row r="174" spans="1:2">
      <c r="A174">
        <v>1.1600000000000008</v>
      </c>
      <c r="B174">
        <f t="shared" si="2"/>
        <v>1.0000000000000009E-2</v>
      </c>
    </row>
    <row r="175" spans="1:2">
      <c r="A175">
        <v>1.1700000000000008</v>
      </c>
      <c r="B175">
        <f t="shared" si="2"/>
        <v>1.0000000000000009E-2</v>
      </c>
    </row>
    <row r="176" spans="1:2">
      <c r="A176">
        <v>1.1800000000000008</v>
      </c>
      <c r="B176">
        <f t="shared" si="2"/>
        <v>1.0000000000000009E-2</v>
      </c>
    </row>
    <row r="177" spans="1:2">
      <c r="A177">
        <v>1.1900000000000008</v>
      </c>
      <c r="B177">
        <f t="shared" si="2"/>
        <v>1.0000000000000009E-2</v>
      </c>
    </row>
    <row r="178" spans="1:2">
      <c r="A178">
        <v>1.2000000000000008</v>
      </c>
      <c r="B178">
        <f t="shared" si="2"/>
        <v>1.0000000000000009E-2</v>
      </c>
    </row>
    <row r="179" spans="1:2">
      <c r="A179">
        <v>1.2100000000000009</v>
      </c>
      <c r="B179">
        <f t="shared" si="2"/>
        <v>1.0000000000000009E-2</v>
      </c>
    </row>
    <row r="180" spans="1:2">
      <c r="A180">
        <v>1.2200000000000009</v>
      </c>
      <c r="B180">
        <f t="shared" si="2"/>
        <v>1.0000000000000009E-2</v>
      </c>
    </row>
    <row r="181" spans="1:2">
      <c r="A181">
        <v>1.2300000000000009</v>
      </c>
      <c r="B181">
        <f t="shared" si="2"/>
        <v>1.0000000000000009E-2</v>
      </c>
    </row>
    <row r="182" spans="1:2">
      <c r="A182">
        <v>1.2400000000000009</v>
      </c>
      <c r="B182">
        <f t="shared" si="2"/>
        <v>1.0000000000000009E-2</v>
      </c>
    </row>
    <row r="183" spans="1:2">
      <c r="A183">
        <v>1.2500000000000009</v>
      </c>
      <c r="B183">
        <f t="shared" si="2"/>
        <v>1.0000000000000009E-2</v>
      </c>
    </row>
    <row r="184" spans="1:2">
      <c r="A184">
        <v>1.2600000000000009</v>
      </c>
      <c r="B184">
        <f t="shared" si="2"/>
        <v>1.0000000000000009E-2</v>
      </c>
    </row>
    <row r="185" spans="1:2">
      <c r="A185">
        <v>1.2700000000000009</v>
      </c>
      <c r="B185">
        <f t="shared" si="2"/>
        <v>1.0000000000000009E-2</v>
      </c>
    </row>
    <row r="186" spans="1:2">
      <c r="A186">
        <v>1.2800000000000009</v>
      </c>
      <c r="B186">
        <f t="shared" si="2"/>
        <v>1.0000000000000009E-2</v>
      </c>
    </row>
    <row r="187" spans="1:2">
      <c r="A187">
        <v>1.2900000000000009</v>
      </c>
      <c r="B187">
        <f t="shared" si="2"/>
        <v>1.0000000000000009E-2</v>
      </c>
    </row>
    <row r="188" spans="1:2">
      <c r="A188">
        <v>1.3000000000000009</v>
      </c>
      <c r="B188">
        <f t="shared" si="2"/>
        <v>1.0000000000000009E-2</v>
      </c>
    </row>
    <row r="189" spans="1:2">
      <c r="A189">
        <v>1.3100000000000009</v>
      </c>
      <c r="B189">
        <f t="shared" si="2"/>
        <v>1.0000000000000009E-2</v>
      </c>
    </row>
    <row r="190" spans="1:2">
      <c r="A190">
        <v>1.320000000000001</v>
      </c>
      <c r="B190">
        <f>A190-A189</f>
        <v>1.0000000000000009E-2</v>
      </c>
    </row>
    <row r="191" spans="1:2">
      <c r="A191">
        <v>1.330000000000001</v>
      </c>
      <c r="B191">
        <f t="shared" si="2"/>
        <v>1.0000000000000009E-2</v>
      </c>
    </row>
    <row r="192" spans="1:2">
      <c r="A192">
        <v>1.340000000000001</v>
      </c>
      <c r="B192">
        <f t="shared" si="2"/>
        <v>1.0000000000000009E-2</v>
      </c>
    </row>
    <row r="193" spans="1:2">
      <c r="A193">
        <v>1.350000000000001</v>
      </c>
      <c r="B193">
        <f t="shared" si="2"/>
        <v>1.0000000000000009E-2</v>
      </c>
    </row>
    <row r="194" spans="1:2">
      <c r="A194">
        <v>1.360000000000001</v>
      </c>
      <c r="B194">
        <f t="shared" si="2"/>
        <v>1.0000000000000009E-2</v>
      </c>
    </row>
    <row r="195" spans="1:2">
      <c r="A195">
        <v>1.370000000000001</v>
      </c>
      <c r="B195">
        <f t="shared" si="2"/>
        <v>1.0000000000000009E-2</v>
      </c>
    </row>
    <row r="196" spans="1:2">
      <c r="A196">
        <v>1.380000000000001</v>
      </c>
      <c r="B196">
        <f t="shared" si="2"/>
        <v>1.0000000000000009E-2</v>
      </c>
    </row>
    <row r="197" spans="1:2">
      <c r="A197">
        <v>1.390000000000001</v>
      </c>
      <c r="B197">
        <f t="shared" si="2"/>
        <v>1.0000000000000009E-2</v>
      </c>
    </row>
    <row r="198" spans="1:2">
      <c r="A198">
        <v>1.400000000000001</v>
      </c>
      <c r="B198">
        <f t="shared" si="2"/>
        <v>1.0000000000000009E-2</v>
      </c>
    </row>
    <row r="199" spans="1:2">
      <c r="A199">
        <v>1.410000000000001</v>
      </c>
      <c r="B199">
        <f t="shared" si="2"/>
        <v>1.0000000000000009E-2</v>
      </c>
    </row>
    <row r="200" spans="1:2">
      <c r="A200">
        <v>1.420000000000001</v>
      </c>
      <c r="B200">
        <f t="shared" si="2"/>
        <v>1.0000000000000009E-2</v>
      </c>
    </row>
    <row r="201" spans="1:2">
      <c r="A201">
        <v>1.430000000000001</v>
      </c>
      <c r="B201">
        <f t="shared" si="2"/>
        <v>1.0000000000000009E-2</v>
      </c>
    </row>
    <row r="202" spans="1:2">
      <c r="A202">
        <v>1.4400000000000011</v>
      </c>
      <c r="B202">
        <f t="shared" si="2"/>
        <v>1.0000000000000009E-2</v>
      </c>
    </row>
    <row r="203" spans="1:2">
      <c r="A203">
        <v>1.4500000000000011</v>
      </c>
      <c r="B203">
        <f t="shared" si="2"/>
        <v>1.0000000000000009E-2</v>
      </c>
    </row>
    <row r="204" spans="1:2">
      <c r="A204">
        <v>1.4600000000000011</v>
      </c>
      <c r="B204">
        <f t="shared" si="2"/>
        <v>1.0000000000000009E-2</v>
      </c>
    </row>
    <row r="205" spans="1:2">
      <c r="A205">
        <v>1.4700000000000011</v>
      </c>
      <c r="B205">
        <f t="shared" si="2"/>
        <v>1.0000000000000009E-2</v>
      </c>
    </row>
    <row r="206" spans="1:2">
      <c r="A206">
        <v>1.4800000000000011</v>
      </c>
      <c r="B206">
        <f t="shared" si="2"/>
        <v>1.0000000000000009E-2</v>
      </c>
    </row>
    <row r="207" spans="1:2">
      <c r="A207">
        <v>1.4900000000000011</v>
      </c>
      <c r="B207">
        <f t="shared" si="2"/>
        <v>1.0000000000000009E-2</v>
      </c>
    </row>
    <row r="208" spans="1:2">
      <c r="A208">
        <v>1.5000000000000011</v>
      </c>
      <c r="B208">
        <f t="shared" si="2"/>
        <v>1.0000000000000009E-2</v>
      </c>
    </row>
    <row r="209" spans="1:2">
      <c r="A209">
        <v>1.5100000000000011</v>
      </c>
      <c r="B209">
        <f t="shared" si="2"/>
        <v>1.0000000000000009E-2</v>
      </c>
    </row>
    <row r="210" spans="1:2">
      <c r="A210">
        <v>1.5200000000000011</v>
      </c>
      <c r="B210">
        <f t="shared" si="2"/>
        <v>1.0000000000000009E-2</v>
      </c>
    </row>
    <row r="211" spans="1:2">
      <c r="A211">
        <v>1.5300000000000011</v>
      </c>
      <c r="B211">
        <f t="shared" si="2"/>
        <v>1.0000000000000009E-2</v>
      </c>
    </row>
    <row r="212" spans="1:2">
      <c r="A212">
        <v>1.5400000000000011</v>
      </c>
      <c r="B212">
        <f t="shared" si="2"/>
        <v>1.0000000000000009E-2</v>
      </c>
    </row>
    <row r="213" spans="1:2">
      <c r="A213">
        <v>1.5500000000000012</v>
      </c>
      <c r="B213">
        <f t="shared" si="2"/>
        <v>1.0000000000000009E-2</v>
      </c>
    </row>
    <row r="214" spans="1:2">
      <c r="A214">
        <v>1.5600000000000012</v>
      </c>
      <c r="B214">
        <f t="shared" si="2"/>
        <v>1.0000000000000009E-2</v>
      </c>
    </row>
    <row r="215" spans="1:2">
      <c r="A215">
        <v>1.5700000000000012</v>
      </c>
      <c r="B215">
        <f t="shared" si="2"/>
        <v>1.0000000000000009E-2</v>
      </c>
    </row>
    <row r="216" spans="1:2">
      <c r="A216">
        <v>1.5800000000000012</v>
      </c>
      <c r="B216">
        <f t="shared" si="2"/>
        <v>1.0000000000000009E-2</v>
      </c>
    </row>
    <row r="217" spans="1:2">
      <c r="A217">
        <v>1.5900000000000012</v>
      </c>
      <c r="B217">
        <f t="shared" si="2"/>
        <v>1.0000000000000009E-2</v>
      </c>
    </row>
    <row r="218" spans="1:2">
      <c r="A218">
        <v>1.6000000000000012</v>
      </c>
      <c r="B218">
        <f t="shared" si="2"/>
        <v>1.0000000000000009E-2</v>
      </c>
    </row>
    <row r="219" spans="1:2">
      <c r="A219">
        <v>1.6100000000000012</v>
      </c>
      <c r="B219">
        <f t="shared" si="2"/>
        <v>1.0000000000000009E-2</v>
      </c>
    </row>
    <row r="220" spans="1:2">
      <c r="A220">
        <v>1.6200000000000012</v>
      </c>
      <c r="B220">
        <f t="shared" si="2"/>
        <v>1.0000000000000009E-2</v>
      </c>
    </row>
    <row r="221" spans="1:2">
      <c r="A221">
        <v>1.6300000000000012</v>
      </c>
      <c r="B221">
        <f t="shared" si="2"/>
        <v>1.0000000000000009E-2</v>
      </c>
    </row>
    <row r="222" spans="1:2">
      <c r="A222">
        <v>1.6400000000000012</v>
      </c>
      <c r="B222">
        <f t="shared" si="2"/>
        <v>1.0000000000000009E-2</v>
      </c>
    </row>
    <row r="223" spans="1:2">
      <c r="A223">
        <v>1.6500000000000012</v>
      </c>
      <c r="B223">
        <f t="shared" si="2"/>
        <v>1.0000000000000009E-2</v>
      </c>
    </row>
    <row r="224" spans="1:2">
      <c r="A224">
        <v>1.6600000000000013</v>
      </c>
      <c r="B224">
        <f t="shared" si="2"/>
        <v>1.0000000000000009E-2</v>
      </c>
    </row>
    <row r="225" spans="1:2">
      <c r="A225">
        <v>1.6700000000000013</v>
      </c>
      <c r="B225">
        <f t="shared" si="2"/>
        <v>1.0000000000000009E-2</v>
      </c>
    </row>
    <row r="226" spans="1:2">
      <c r="A226">
        <v>1.6800000000000013</v>
      </c>
      <c r="B226">
        <f t="shared" si="2"/>
        <v>1.0000000000000009E-2</v>
      </c>
    </row>
    <row r="227" spans="1:2">
      <c r="A227">
        <v>1.6900000000000013</v>
      </c>
      <c r="B227">
        <f t="shared" si="2"/>
        <v>1.0000000000000009E-2</v>
      </c>
    </row>
    <row r="228" spans="1:2">
      <c r="A228">
        <v>1.7000000000000013</v>
      </c>
      <c r="B228">
        <f t="shared" si="2"/>
        <v>1.0000000000000009E-2</v>
      </c>
    </row>
    <row r="229" spans="1:2">
      <c r="A229">
        <v>1.7100000000000013</v>
      </c>
      <c r="B229">
        <f t="shared" si="2"/>
        <v>1.0000000000000009E-2</v>
      </c>
    </row>
    <row r="230" spans="1:2">
      <c r="A230">
        <v>1.7200000000000013</v>
      </c>
      <c r="B230">
        <f t="shared" si="2"/>
        <v>1.0000000000000009E-2</v>
      </c>
    </row>
    <row r="231" spans="1:2">
      <c r="A231">
        <v>1.7300000000000013</v>
      </c>
      <c r="B231">
        <f t="shared" si="2"/>
        <v>1.0000000000000009E-2</v>
      </c>
    </row>
    <row r="232" spans="1:2">
      <c r="A232">
        <v>1.7400000000000013</v>
      </c>
      <c r="B232">
        <f t="shared" si="2"/>
        <v>1.0000000000000009E-2</v>
      </c>
    </row>
    <row r="233" spans="1:2">
      <c r="A233">
        <v>1.7500000000000013</v>
      </c>
      <c r="B233">
        <f t="shared" si="2"/>
        <v>1.0000000000000009E-2</v>
      </c>
    </row>
    <row r="234" spans="1:2">
      <c r="A234">
        <v>1.7600000000000013</v>
      </c>
      <c r="B234">
        <f t="shared" ref="B234:B297" si="3">A234-A233</f>
        <v>1.0000000000000009E-2</v>
      </c>
    </row>
    <row r="235" spans="1:2">
      <c r="A235">
        <v>1.7700000000000014</v>
      </c>
      <c r="B235">
        <f t="shared" si="3"/>
        <v>1.0000000000000009E-2</v>
      </c>
    </row>
    <row r="236" spans="1:2">
      <c r="A236">
        <v>1.7800000000000014</v>
      </c>
      <c r="B236">
        <f t="shared" si="3"/>
        <v>1.0000000000000009E-2</v>
      </c>
    </row>
    <row r="237" spans="1:2">
      <c r="A237">
        <v>1.7900000000000014</v>
      </c>
      <c r="B237">
        <f t="shared" si="3"/>
        <v>1.0000000000000009E-2</v>
      </c>
    </row>
    <row r="238" spans="1:2">
      <c r="A238">
        <v>1.8000000000000014</v>
      </c>
      <c r="B238">
        <f t="shared" si="3"/>
        <v>1.0000000000000009E-2</v>
      </c>
    </row>
    <row r="239" spans="1:2">
      <c r="A239">
        <v>1.8100000000000014</v>
      </c>
      <c r="B239">
        <f t="shared" si="3"/>
        <v>1.0000000000000009E-2</v>
      </c>
    </row>
    <row r="240" spans="1:2">
      <c r="A240">
        <v>1.8200000000000014</v>
      </c>
      <c r="B240">
        <f t="shared" si="3"/>
        <v>1.0000000000000009E-2</v>
      </c>
    </row>
    <row r="241" spans="1:2">
      <c r="A241">
        <v>1.8300000000000014</v>
      </c>
      <c r="B241">
        <f t="shared" si="3"/>
        <v>1.0000000000000009E-2</v>
      </c>
    </row>
    <row r="242" spans="1:2">
      <c r="A242">
        <v>1.8400000000000014</v>
      </c>
      <c r="B242">
        <f t="shared" si="3"/>
        <v>1.0000000000000009E-2</v>
      </c>
    </row>
    <row r="243" spans="1:2">
      <c r="A243">
        <v>1.8500000000000014</v>
      </c>
      <c r="B243">
        <f t="shared" si="3"/>
        <v>1.0000000000000009E-2</v>
      </c>
    </row>
    <row r="244" spans="1:2">
      <c r="A244">
        <v>1.8600000000000014</v>
      </c>
      <c r="B244">
        <f t="shared" si="3"/>
        <v>1.0000000000000009E-2</v>
      </c>
    </row>
    <row r="245" spans="1:2">
      <c r="A245">
        <v>1.8700000000000014</v>
      </c>
      <c r="B245">
        <f t="shared" si="3"/>
        <v>1.0000000000000009E-2</v>
      </c>
    </row>
    <row r="246" spans="1:2">
      <c r="A246">
        <v>1.8800000000000014</v>
      </c>
      <c r="B246">
        <f t="shared" si="3"/>
        <v>1.0000000000000009E-2</v>
      </c>
    </row>
    <row r="247" spans="1:2">
      <c r="A247">
        <v>1.8900000000000015</v>
      </c>
      <c r="B247">
        <f t="shared" si="3"/>
        <v>1.0000000000000009E-2</v>
      </c>
    </row>
    <row r="248" spans="1:2">
      <c r="A248">
        <v>1.9000000000000015</v>
      </c>
      <c r="B248">
        <f t="shared" si="3"/>
        <v>1.0000000000000009E-2</v>
      </c>
    </row>
    <row r="249" spans="1:2">
      <c r="A249">
        <v>1.9100000000000015</v>
      </c>
      <c r="B249">
        <f t="shared" si="3"/>
        <v>1.0000000000000009E-2</v>
      </c>
    </row>
    <row r="250" spans="1:2">
      <c r="A250">
        <v>1.9200000000000015</v>
      </c>
      <c r="B250">
        <f t="shared" si="3"/>
        <v>1.0000000000000009E-2</v>
      </c>
    </row>
    <row r="251" spans="1:2">
      <c r="A251">
        <v>1.9300000000000015</v>
      </c>
      <c r="B251">
        <f t="shared" si="3"/>
        <v>1.0000000000000009E-2</v>
      </c>
    </row>
    <row r="252" spans="1:2">
      <c r="A252">
        <v>1.9400000000000015</v>
      </c>
      <c r="B252">
        <f t="shared" si="3"/>
        <v>1.0000000000000009E-2</v>
      </c>
    </row>
    <row r="253" spans="1:2">
      <c r="A253">
        <v>1.9500000000000015</v>
      </c>
      <c r="B253">
        <f t="shared" si="3"/>
        <v>1.0000000000000009E-2</v>
      </c>
    </row>
    <row r="254" spans="1:2">
      <c r="A254">
        <v>1.9600000000000015</v>
      </c>
      <c r="B254">
        <f t="shared" si="3"/>
        <v>1.0000000000000009E-2</v>
      </c>
    </row>
    <row r="255" spans="1:2">
      <c r="A255">
        <v>1.9700000000000015</v>
      </c>
      <c r="B255">
        <f t="shared" si="3"/>
        <v>1.0000000000000009E-2</v>
      </c>
    </row>
    <row r="256" spans="1:2">
      <c r="A256">
        <v>1.9800000000000015</v>
      </c>
      <c r="B256">
        <f t="shared" si="3"/>
        <v>1.0000000000000009E-2</v>
      </c>
    </row>
    <row r="257" spans="1:2">
      <c r="A257">
        <v>1.9900000000000015</v>
      </c>
      <c r="B257">
        <f t="shared" si="3"/>
        <v>1.0000000000000009E-2</v>
      </c>
    </row>
    <row r="258" spans="1:2">
      <c r="A258">
        <v>2.0000000000000013</v>
      </c>
      <c r="B258">
        <f t="shared" si="3"/>
        <v>9.9999999999997868E-3</v>
      </c>
    </row>
    <row r="259" spans="1:2">
      <c r="A259">
        <v>2.0100000000000011</v>
      </c>
      <c r="B259">
        <f t="shared" si="3"/>
        <v>9.9999999999997868E-3</v>
      </c>
    </row>
    <row r="260" spans="1:2">
      <c r="A260">
        <v>2.0200000000000009</v>
      </c>
      <c r="B260">
        <f t="shared" si="3"/>
        <v>9.9999999999997868E-3</v>
      </c>
    </row>
    <row r="261" spans="1:2">
      <c r="A261">
        <v>2.0300000000000007</v>
      </c>
      <c r="B261">
        <f t="shared" si="3"/>
        <v>9.9999999999997868E-3</v>
      </c>
    </row>
    <row r="262" spans="1:2">
      <c r="A262">
        <v>2.0400000000000005</v>
      </c>
      <c r="B262">
        <f t="shared" si="3"/>
        <v>9.9999999999997868E-3</v>
      </c>
    </row>
    <row r="263" spans="1:2">
      <c r="A263">
        <v>2.0500000000000003</v>
      </c>
      <c r="B263">
        <f t="shared" si="3"/>
        <v>9.9999999999997868E-3</v>
      </c>
    </row>
    <row r="264" spans="1:2">
      <c r="A264">
        <v>2.06</v>
      </c>
      <c r="B264">
        <f t="shared" si="3"/>
        <v>9.9999999999997868E-3</v>
      </c>
    </row>
    <row r="265" spans="1:2">
      <c r="A265">
        <v>2.0699999999999998</v>
      </c>
      <c r="B265">
        <f t="shared" si="3"/>
        <v>9.9999999999997868E-3</v>
      </c>
    </row>
    <row r="266" spans="1:2">
      <c r="A266">
        <v>2.0799999999999996</v>
      </c>
      <c r="B266">
        <f t="shared" si="3"/>
        <v>9.9999999999997868E-3</v>
      </c>
    </row>
    <row r="267" spans="1:2">
      <c r="A267">
        <v>2.0899999999999994</v>
      </c>
      <c r="B267">
        <f t="shared" si="3"/>
        <v>9.9999999999997868E-3</v>
      </c>
    </row>
    <row r="268" spans="1:2">
      <c r="A268">
        <v>2.0999999999999992</v>
      </c>
      <c r="B268">
        <f t="shared" si="3"/>
        <v>9.9999999999997868E-3</v>
      </c>
    </row>
    <row r="269" spans="1:2">
      <c r="A269">
        <v>2.109999999999999</v>
      </c>
      <c r="B269">
        <f t="shared" si="3"/>
        <v>9.9999999999997868E-3</v>
      </c>
    </row>
    <row r="270" spans="1:2">
      <c r="A270">
        <v>2.1199999999999988</v>
      </c>
      <c r="B270">
        <f t="shared" si="3"/>
        <v>9.9999999999997868E-3</v>
      </c>
    </row>
    <row r="271" spans="1:2">
      <c r="A271">
        <v>2.1299999999999986</v>
      </c>
      <c r="B271">
        <f t="shared" si="3"/>
        <v>9.9999999999997868E-3</v>
      </c>
    </row>
    <row r="272" spans="1:2">
      <c r="A272">
        <v>2.1399999999999983</v>
      </c>
      <c r="B272">
        <f t="shared" si="3"/>
        <v>9.9999999999997868E-3</v>
      </c>
    </row>
    <row r="273" spans="1:2">
      <c r="A273">
        <v>2.1499999999999981</v>
      </c>
      <c r="B273">
        <f t="shared" si="3"/>
        <v>9.9999999999997868E-3</v>
      </c>
    </row>
    <row r="274" spans="1:2">
      <c r="A274">
        <v>2.1599999999999979</v>
      </c>
      <c r="B274">
        <f t="shared" si="3"/>
        <v>9.9999999999997868E-3</v>
      </c>
    </row>
    <row r="275" spans="1:2">
      <c r="A275">
        <v>2.1699999999999977</v>
      </c>
      <c r="B275">
        <f t="shared" si="3"/>
        <v>9.9999999999997868E-3</v>
      </c>
    </row>
    <row r="276" spans="1:2">
      <c r="A276">
        <v>2.1799999999999975</v>
      </c>
      <c r="B276">
        <f t="shared" si="3"/>
        <v>9.9999999999997868E-3</v>
      </c>
    </row>
    <row r="277" spans="1:2">
      <c r="A277">
        <v>2.1899999999999973</v>
      </c>
      <c r="B277">
        <f t="shared" si="3"/>
        <v>9.9999999999997868E-3</v>
      </c>
    </row>
    <row r="278" spans="1:2">
      <c r="A278">
        <v>2.1999999999999971</v>
      </c>
      <c r="B278">
        <f t="shared" si="3"/>
        <v>9.9999999999997868E-3</v>
      </c>
    </row>
    <row r="279" spans="1:2">
      <c r="A279">
        <v>2.2099999999999969</v>
      </c>
      <c r="B279">
        <f t="shared" si="3"/>
        <v>9.9999999999997868E-3</v>
      </c>
    </row>
    <row r="280" spans="1:2">
      <c r="A280">
        <v>2.2199999999999966</v>
      </c>
      <c r="B280">
        <f t="shared" si="3"/>
        <v>9.9999999999997868E-3</v>
      </c>
    </row>
    <row r="281" spans="1:2">
      <c r="A281">
        <v>2.2299999999999964</v>
      </c>
      <c r="B281">
        <f t="shared" si="3"/>
        <v>9.9999999999997868E-3</v>
      </c>
    </row>
    <row r="282" spans="1:2">
      <c r="A282">
        <v>2.2399999999999962</v>
      </c>
      <c r="B282">
        <f t="shared" si="3"/>
        <v>9.9999999999997868E-3</v>
      </c>
    </row>
    <row r="283" spans="1:2">
      <c r="A283">
        <v>2.249999999999996</v>
      </c>
      <c r="B283">
        <f t="shared" si="3"/>
        <v>9.9999999999997868E-3</v>
      </c>
    </row>
    <row r="284" spans="1:2">
      <c r="A284">
        <v>2.2599999999999958</v>
      </c>
      <c r="B284">
        <f t="shared" si="3"/>
        <v>9.9999999999997868E-3</v>
      </c>
    </row>
    <row r="285" spans="1:2">
      <c r="A285">
        <v>2.2699999999999956</v>
      </c>
      <c r="B285">
        <f t="shared" si="3"/>
        <v>9.9999999999997868E-3</v>
      </c>
    </row>
    <row r="286" spans="1:2">
      <c r="A286">
        <v>2.2799999999999954</v>
      </c>
      <c r="B286">
        <f t="shared" si="3"/>
        <v>9.9999999999997868E-3</v>
      </c>
    </row>
    <row r="287" spans="1:2">
      <c r="A287">
        <v>2.2899999999999952</v>
      </c>
      <c r="B287">
        <f t="shared" si="3"/>
        <v>9.9999999999997868E-3</v>
      </c>
    </row>
    <row r="288" spans="1:2">
      <c r="A288">
        <v>2.2999999999999949</v>
      </c>
      <c r="B288">
        <f t="shared" si="3"/>
        <v>9.9999999999997868E-3</v>
      </c>
    </row>
    <row r="289" spans="1:2">
      <c r="A289">
        <v>2.3099999999999947</v>
      </c>
      <c r="B289">
        <f t="shared" si="3"/>
        <v>9.9999999999997868E-3</v>
      </c>
    </row>
    <row r="290" spans="1:2">
      <c r="A290">
        <v>2.3199999999999945</v>
      </c>
      <c r="B290">
        <f t="shared" si="3"/>
        <v>9.9999999999997868E-3</v>
      </c>
    </row>
    <row r="291" spans="1:2">
      <c r="A291">
        <v>2.3299999999999943</v>
      </c>
      <c r="B291">
        <f t="shared" si="3"/>
        <v>9.9999999999997868E-3</v>
      </c>
    </row>
    <row r="292" spans="1:2">
      <c r="A292">
        <v>2.3399999999999941</v>
      </c>
      <c r="B292">
        <f t="shared" si="3"/>
        <v>9.9999999999997868E-3</v>
      </c>
    </row>
    <row r="293" spans="1:2">
      <c r="A293">
        <v>2.3499999999999939</v>
      </c>
      <c r="B293">
        <f t="shared" si="3"/>
        <v>9.9999999999997868E-3</v>
      </c>
    </row>
    <row r="294" spans="1:2">
      <c r="A294">
        <v>2.3599999999999937</v>
      </c>
      <c r="B294">
        <f t="shared" si="3"/>
        <v>9.9999999999997868E-3</v>
      </c>
    </row>
    <row r="295" spans="1:2">
      <c r="A295">
        <v>2.3699999999999934</v>
      </c>
      <c r="B295">
        <f t="shared" si="3"/>
        <v>9.9999999999997868E-3</v>
      </c>
    </row>
    <row r="296" spans="1:2">
      <c r="A296">
        <v>2.3799999999999932</v>
      </c>
      <c r="B296">
        <f t="shared" si="3"/>
        <v>9.9999999999997868E-3</v>
      </c>
    </row>
    <row r="297" spans="1:2">
      <c r="A297">
        <v>2.389999999999993</v>
      </c>
      <c r="B297">
        <f t="shared" si="3"/>
        <v>9.9999999999997868E-3</v>
      </c>
    </row>
    <row r="298" spans="1:2">
      <c r="A298">
        <v>2.3999999999999928</v>
      </c>
      <c r="B298">
        <f t="shared" ref="B298:B361" si="4">A298-A297</f>
        <v>9.9999999999997868E-3</v>
      </c>
    </row>
    <row r="299" spans="1:2">
      <c r="A299">
        <v>2.4099999999999926</v>
      </c>
      <c r="B299">
        <f t="shared" si="4"/>
        <v>9.9999999999997868E-3</v>
      </c>
    </row>
    <row r="300" spans="1:2">
      <c r="A300">
        <v>2.4199999999999924</v>
      </c>
      <c r="B300">
        <f t="shared" si="4"/>
        <v>9.9999999999997868E-3</v>
      </c>
    </row>
    <row r="301" spans="1:2">
      <c r="A301">
        <v>2.4299999999999922</v>
      </c>
      <c r="B301">
        <f t="shared" si="4"/>
        <v>9.9999999999997868E-3</v>
      </c>
    </row>
    <row r="302" spans="1:2">
      <c r="A302">
        <v>2.439999999999992</v>
      </c>
      <c r="B302">
        <f t="shared" si="4"/>
        <v>9.9999999999997868E-3</v>
      </c>
    </row>
    <row r="303" spans="1:2">
      <c r="A303">
        <v>2.4499999999999917</v>
      </c>
      <c r="B303">
        <f t="shared" si="4"/>
        <v>9.9999999999997868E-3</v>
      </c>
    </row>
    <row r="304" spans="1:2">
      <c r="A304">
        <v>2.4599999999999915</v>
      </c>
      <c r="B304">
        <f t="shared" si="4"/>
        <v>9.9999999999997868E-3</v>
      </c>
    </row>
    <row r="305" spans="1:2">
      <c r="A305">
        <v>2.4699999999999913</v>
      </c>
      <c r="B305">
        <f t="shared" si="4"/>
        <v>9.9999999999997868E-3</v>
      </c>
    </row>
    <row r="306" spans="1:2">
      <c r="A306">
        <v>2.4799999999999911</v>
      </c>
      <c r="B306">
        <f t="shared" si="4"/>
        <v>9.9999999999997868E-3</v>
      </c>
    </row>
    <row r="307" spans="1:2">
      <c r="A307">
        <v>2.4899999999999909</v>
      </c>
      <c r="B307">
        <f t="shared" si="4"/>
        <v>9.9999999999997868E-3</v>
      </c>
    </row>
    <row r="308" spans="1:2">
      <c r="A308">
        <v>2.4999999999999907</v>
      </c>
      <c r="B308">
        <f t="shared" si="4"/>
        <v>9.9999999999997868E-3</v>
      </c>
    </row>
    <row r="309" spans="1:2">
      <c r="A309">
        <v>2.5099999999999905</v>
      </c>
      <c r="B309">
        <f t="shared" si="4"/>
        <v>9.9999999999997868E-3</v>
      </c>
    </row>
    <row r="310" spans="1:2">
      <c r="A310">
        <v>2.5199999999999902</v>
      </c>
      <c r="B310">
        <f t="shared" si="4"/>
        <v>9.9999999999997868E-3</v>
      </c>
    </row>
    <row r="311" spans="1:2">
      <c r="A311">
        <v>2.52999999999999</v>
      </c>
      <c r="B311">
        <f t="shared" si="4"/>
        <v>9.9999999999997868E-3</v>
      </c>
    </row>
    <row r="312" spans="1:2">
      <c r="A312">
        <v>2.5399999999999898</v>
      </c>
      <c r="B312">
        <f t="shared" si="4"/>
        <v>9.9999999999997868E-3</v>
      </c>
    </row>
    <row r="313" spans="1:2">
      <c r="A313">
        <v>2.5499999999999896</v>
      </c>
      <c r="B313">
        <f t="shared" si="4"/>
        <v>9.9999999999997868E-3</v>
      </c>
    </row>
    <row r="314" spans="1:2">
      <c r="A314">
        <v>2.5599999999999894</v>
      </c>
      <c r="B314">
        <f t="shared" si="4"/>
        <v>9.9999999999997868E-3</v>
      </c>
    </row>
    <row r="315" spans="1:2">
      <c r="A315">
        <v>2.5699999999999892</v>
      </c>
      <c r="B315">
        <f t="shared" si="4"/>
        <v>9.9999999999997868E-3</v>
      </c>
    </row>
    <row r="316" spans="1:2">
      <c r="A316">
        <v>2.579999999999989</v>
      </c>
      <c r="B316">
        <f t="shared" si="4"/>
        <v>9.9999999999997868E-3</v>
      </c>
    </row>
    <row r="317" spans="1:2">
      <c r="A317">
        <v>2.5899999999999888</v>
      </c>
      <c r="B317">
        <f t="shared" si="4"/>
        <v>9.9999999999997868E-3</v>
      </c>
    </row>
    <row r="318" spans="1:2">
      <c r="A318">
        <v>2.5999999999999885</v>
      </c>
      <c r="B318">
        <f t="shared" si="4"/>
        <v>9.9999999999997868E-3</v>
      </c>
    </row>
    <row r="319" spans="1:2">
      <c r="A319">
        <v>2.6099999999999883</v>
      </c>
      <c r="B319">
        <f t="shared" si="4"/>
        <v>9.9999999999997868E-3</v>
      </c>
    </row>
    <row r="320" spans="1:2">
      <c r="A320">
        <v>2.6199999999999881</v>
      </c>
      <c r="B320">
        <f t="shared" si="4"/>
        <v>9.9999999999997868E-3</v>
      </c>
    </row>
    <row r="321" spans="1:2">
      <c r="A321">
        <v>2.6299999999999879</v>
      </c>
      <c r="B321">
        <f t="shared" si="4"/>
        <v>9.9999999999997868E-3</v>
      </c>
    </row>
    <row r="322" spans="1:2">
      <c r="A322">
        <v>2.6399999999999877</v>
      </c>
      <c r="B322">
        <f t="shared" si="4"/>
        <v>9.9999999999997868E-3</v>
      </c>
    </row>
    <row r="323" spans="1:2">
      <c r="A323">
        <v>2.6499999999999875</v>
      </c>
      <c r="B323">
        <f t="shared" si="4"/>
        <v>9.9999999999997868E-3</v>
      </c>
    </row>
    <row r="324" spans="1:2">
      <c r="A324">
        <v>2.6599999999999873</v>
      </c>
      <c r="B324">
        <f t="shared" si="4"/>
        <v>9.9999999999997868E-3</v>
      </c>
    </row>
    <row r="325" spans="1:2">
      <c r="A325">
        <v>2.6699999999999871</v>
      </c>
      <c r="B325">
        <f t="shared" si="4"/>
        <v>9.9999999999997868E-3</v>
      </c>
    </row>
    <row r="326" spans="1:2">
      <c r="A326">
        <v>2.6799999999999868</v>
      </c>
      <c r="B326">
        <f t="shared" si="4"/>
        <v>9.9999999999997868E-3</v>
      </c>
    </row>
    <row r="327" spans="1:2">
      <c r="A327">
        <v>2.6899999999999866</v>
      </c>
      <c r="B327">
        <f t="shared" si="4"/>
        <v>9.9999999999997868E-3</v>
      </c>
    </row>
    <row r="328" spans="1:2">
      <c r="A328">
        <v>2.6999999999999864</v>
      </c>
      <c r="B328">
        <f t="shared" si="4"/>
        <v>9.9999999999997868E-3</v>
      </c>
    </row>
    <row r="329" spans="1:2">
      <c r="A329">
        <v>2.7099999999999862</v>
      </c>
      <c r="B329">
        <f t="shared" si="4"/>
        <v>9.9999999999997868E-3</v>
      </c>
    </row>
    <row r="330" spans="1:2">
      <c r="A330">
        <v>2.719999999999986</v>
      </c>
      <c r="B330">
        <f t="shared" si="4"/>
        <v>9.9999999999997868E-3</v>
      </c>
    </row>
    <row r="331" spans="1:2">
      <c r="A331">
        <v>2.7299999999999858</v>
      </c>
      <c r="B331">
        <f t="shared" si="4"/>
        <v>9.9999999999997868E-3</v>
      </c>
    </row>
    <row r="332" spans="1:2">
      <c r="A332">
        <v>2.7399999999999856</v>
      </c>
      <c r="B332">
        <f t="shared" si="4"/>
        <v>9.9999999999997868E-3</v>
      </c>
    </row>
    <row r="333" spans="1:2">
      <c r="A333">
        <v>2.7499999999999853</v>
      </c>
      <c r="B333">
        <f t="shared" si="4"/>
        <v>9.9999999999997868E-3</v>
      </c>
    </row>
    <row r="334" spans="1:2">
      <c r="A334">
        <v>2.7599999999999851</v>
      </c>
      <c r="B334">
        <f t="shared" si="4"/>
        <v>9.9999999999997868E-3</v>
      </c>
    </row>
    <row r="335" spans="1:2">
      <c r="A335">
        <v>2.7699999999999849</v>
      </c>
      <c r="B335">
        <f t="shared" si="4"/>
        <v>9.9999999999997868E-3</v>
      </c>
    </row>
    <row r="336" spans="1:2">
      <c r="A336">
        <v>2.7799999999999847</v>
      </c>
      <c r="B336">
        <f t="shared" si="4"/>
        <v>9.9999999999997868E-3</v>
      </c>
    </row>
    <row r="337" spans="1:2">
      <c r="A337">
        <v>2.7899999999999845</v>
      </c>
      <c r="B337">
        <f t="shared" si="4"/>
        <v>9.9999999999997868E-3</v>
      </c>
    </row>
    <row r="338" spans="1:2">
      <c r="A338">
        <v>2.7999999999999843</v>
      </c>
      <c r="B338">
        <f t="shared" si="4"/>
        <v>9.9999999999997868E-3</v>
      </c>
    </row>
    <row r="339" spans="1:2">
      <c r="A339">
        <v>2.8099999999999841</v>
      </c>
      <c r="B339">
        <f t="shared" si="4"/>
        <v>9.9999999999997868E-3</v>
      </c>
    </row>
    <row r="340" spans="1:2">
      <c r="A340">
        <v>2.8199999999999839</v>
      </c>
      <c r="B340">
        <f t="shared" si="4"/>
        <v>9.9999999999997868E-3</v>
      </c>
    </row>
    <row r="341" spans="1:2">
      <c r="A341">
        <v>2.8299999999999836</v>
      </c>
      <c r="B341">
        <f t="shared" si="4"/>
        <v>9.9999999999997868E-3</v>
      </c>
    </row>
    <row r="342" spans="1:2">
      <c r="A342">
        <v>2.8399999999999834</v>
      </c>
      <c r="B342">
        <f t="shared" si="4"/>
        <v>9.9999999999997868E-3</v>
      </c>
    </row>
    <row r="343" spans="1:2">
      <c r="A343">
        <v>2.8499999999999832</v>
      </c>
      <c r="B343">
        <f t="shared" si="4"/>
        <v>9.9999999999997868E-3</v>
      </c>
    </row>
    <row r="344" spans="1:2">
      <c r="A344">
        <v>2.859999999999983</v>
      </c>
      <c r="B344">
        <f t="shared" si="4"/>
        <v>9.9999999999997868E-3</v>
      </c>
    </row>
    <row r="345" spans="1:2">
      <c r="A345">
        <v>2.8699999999999828</v>
      </c>
      <c r="B345">
        <f t="shared" si="4"/>
        <v>9.9999999999997868E-3</v>
      </c>
    </row>
    <row r="346" spans="1:2">
      <c r="A346">
        <v>2.8799999999999826</v>
      </c>
      <c r="B346">
        <f t="shared" si="4"/>
        <v>9.9999999999997868E-3</v>
      </c>
    </row>
    <row r="347" spans="1:2">
      <c r="A347">
        <v>2.8899999999999824</v>
      </c>
      <c r="B347">
        <f t="shared" si="4"/>
        <v>9.9999999999997868E-3</v>
      </c>
    </row>
    <row r="348" spans="1:2">
      <c r="A348">
        <v>2.8999999999999821</v>
      </c>
      <c r="B348">
        <f t="shared" si="4"/>
        <v>9.9999999999997868E-3</v>
      </c>
    </row>
    <row r="349" spans="1:2">
      <c r="A349">
        <v>2.9099999999999819</v>
      </c>
      <c r="B349">
        <f t="shared" si="4"/>
        <v>9.9999999999997868E-3</v>
      </c>
    </row>
    <row r="350" spans="1:2">
      <c r="A350">
        <v>2.9199999999999817</v>
      </c>
      <c r="B350">
        <f t="shared" si="4"/>
        <v>9.9999999999997868E-3</v>
      </c>
    </row>
    <row r="351" spans="1:2">
      <c r="A351">
        <v>2.9299999999999815</v>
      </c>
      <c r="B351">
        <f t="shared" si="4"/>
        <v>9.9999999999997868E-3</v>
      </c>
    </row>
    <row r="352" spans="1:2">
      <c r="A352">
        <v>2.9399999999999813</v>
      </c>
      <c r="B352">
        <f t="shared" si="4"/>
        <v>9.9999999999997868E-3</v>
      </c>
    </row>
    <row r="353" spans="1:2">
      <c r="A353">
        <v>2.9499999999999811</v>
      </c>
      <c r="B353">
        <f t="shared" si="4"/>
        <v>9.9999999999997868E-3</v>
      </c>
    </row>
    <row r="354" spans="1:2">
      <c r="A354">
        <v>2.9599999999999809</v>
      </c>
      <c r="B354">
        <f t="shared" si="4"/>
        <v>9.9999999999997868E-3</v>
      </c>
    </row>
    <row r="355" spans="1:2">
      <c r="A355">
        <v>2.9699999999999807</v>
      </c>
      <c r="B355">
        <f t="shared" si="4"/>
        <v>9.9999999999997868E-3</v>
      </c>
    </row>
    <row r="356" spans="1:2">
      <c r="A356">
        <v>2.9799999999999804</v>
      </c>
      <c r="B356">
        <f t="shared" si="4"/>
        <v>9.9999999999997868E-3</v>
      </c>
    </row>
    <row r="357" spans="1:2">
      <c r="A357">
        <v>2.9899999999999802</v>
      </c>
      <c r="B357">
        <f t="shared" si="4"/>
        <v>9.9999999999997868E-3</v>
      </c>
    </row>
    <row r="358" spans="1:2">
      <c r="A358">
        <v>2.99999999999998</v>
      </c>
      <c r="B358">
        <f t="shared" si="4"/>
        <v>9.9999999999997868E-3</v>
      </c>
    </row>
    <row r="359" spans="1:2">
      <c r="A359">
        <v>3.0099999999999798</v>
      </c>
      <c r="B359">
        <f t="shared" si="4"/>
        <v>9.9999999999997868E-3</v>
      </c>
    </row>
    <row r="360" spans="1:2">
      <c r="A360">
        <v>3.0199999999999796</v>
      </c>
      <c r="B360">
        <f t="shared" si="4"/>
        <v>9.9999999999997868E-3</v>
      </c>
    </row>
    <row r="361" spans="1:2">
      <c r="A361">
        <v>3.0299999999999794</v>
      </c>
      <c r="B361">
        <f t="shared" si="4"/>
        <v>9.9999999999997868E-3</v>
      </c>
    </row>
    <row r="362" spans="1:2">
      <c r="A362">
        <v>3.0399999999999792</v>
      </c>
      <c r="B362">
        <f t="shared" ref="B362:B425" si="5">A362-A361</f>
        <v>9.9999999999997868E-3</v>
      </c>
    </row>
    <row r="363" spans="1:2">
      <c r="A363">
        <v>3.049999999999979</v>
      </c>
      <c r="B363">
        <f t="shared" si="5"/>
        <v>9.9999999999997868E-3</v>
      </c>
    </row>
    <row r="364" spans="1:2">
      <c r="A364">
        <v>3.0599999999999787</v>
      </c>
      <c r="B364">
        <f t="shared" si="5"/>
        <v>9.9999999999997868E-3</v>
      </c>
    </row>
    <row r="365" spans="1:2">
      <c r="A365">
        <v>3.0699999999999785</v>
      </c>
      <c r="B365">
        <f t="shared" si="5"/>
        <v>9.9999999999997868E-3</v>
      </c>
    </row>
    <row r="366" spans="1:2">
      <c r="A366">
        <v>3.0799999999999783</v>
      </c>
      <c r="B366">
        <f t="shared" si="5"/>
        <v>9.9999999999997868E-3</v>
      </c>
    </row>
    <row r="367" spans="1:2">
      <c r="A367">
        <v>3.0899999999999781</v>
      </c>
      <c r="B367">
        <f t="shared" si="5"/>
        <v>9.9999999999997868E-3</v>
      </c>
    </row>
    <row r="368" spans="1:2">
      <c r="A368">
        <v>3.0999999999999779</v>
      </c>
      <c r="B368">
        <f t="shared" si="5"/>
        <v>9.9999999999997868E-3</v>
      </c>
    </row>
    <row r="369" spans="1:2">
      <c r="A369">
        <v>3.1099999999999777</v>
      </c>
      <c r="B369">
        <f t="shared" si="5"/>
        <v>9.9999999999997868E-3</v>
      </c>
    </row>
    <row r="370" spans="1:2">
      <c r="A370">
        <v>3.1199999999999775</v>
      </c>
      <c r="B370">
        <f t="shared" si="5"/>
        <v>9.9999999999997868E-3</v>
      </c>
    </row>
    <row r="371" spans="1:2">
      <c r="A371">
        <v>3.1299999999999772</v>
      </c>
      <c r="B371">
        <f t="shared" si="5"/>
        <v>9.9999999999997868E-3</v>
      </c>
    </row>
    <row r="372" spans="1:2">
      <c r="A372">
        <v>3.139999999999977</v>
      </c>
      <c r="B372">
        <f t="shared" si="5"/>
        <v>9.9999999999997868E-3</v>
      </c>
    </row>
    <row r="373" spans="1:2">
      <c r="A373">
        <v>3.1499999999999768</v>
      </c>
      <c r="B373">
        <f t="shared" si="5"/>
        <v>9.9999999999997868E-3</v>
      </c>
    </row>
    <row r="374" spans="1:2">
      <c r="A374">
        <v>3.1599999999999766</v>
      </c>
      <c r="B374">
        <f t="shared" si="5"/>
        <v>9.9999999999997868E-3</v>
      </c>
    </row>
    <row r="375" spans="1:2">
      <c r="A375">
        <v>3.1699999999999764</v>
      </c>
      <c r="B375">
        <f t="shared" si="5"/>
        <v>9.9999999999997868E-3</v>
      </c>
    </row>
    <row r="376" spans="1:2">
      <c r="A376">
        <v>3.1799999999999762</v>
      </c>
      <c r="B376">
        <f t="shared" si="5"/>
        <v>9.9999999999997868E-3</v>
      </c>
    </row>
    <row r="377" spans="1:2">
      <c r="A377">
        <v>3.189999999999976</v>
      </c>
      <c r="B377">
        <f t="shared" si="5"/>
        <v>9.9999999999997868E-3</v>
      </c>
    </row>
    <row r="378" spans="1:2">
      <c r="A378">
        <v>3.1999999999999758</v>
      </c>
      <c r="B378">
        <f t="shared" si="5"/>
        <v>9.9999999999997868E-3</v>
      </c>
    </row>
    <row r="379" spans="1:2">
      <c r="A379">
        <v>3.2099999999999755</v>
      </c>
      <c r="B379">
        <f t="shared" si="5"/>
        <v>9.9999999999997868E-3</v>
      </c>
    </row>
    <row r="380" spans="1:2">
      <c r="A380">
        <v>3.2199999999999753</v>
      </c>
      <c r="B380">
        <f t="shared" si="5"/>
        <v>9.9999999999997868E-3</v>
      </c>
    </row>
    <row r="381" spans="1:2">
      <c r="A381">
        <v>3.2299999999999751</v>
      </c>
      <c r="B381">
        <f t="shared" si="5"/>
        <v>9.9999999999997868E-3</v>
      </c>
    </row>
    <row r="382" spans="1:2">
      <c r="A382">
        <v>3.2399999999999749</v>
      </c>
      <c r="B382">
        <f t="shared" si="5"/>
        <v>9.9999999999997868E-3</v>
      </c>
    </row>
    <row r="383" spans="1:2">
      <c r="A383">
        <v>3.2499999999999747</v>
      </c>
      <c r="B383">
        <f t="shared" si="5"/>
        <v>9.9999999999997868E-3</v>
      </c>
    </row>
    <row r="384" spans="1:2">
      <c r="A384">
        <v>3.2599999999999745</v>
      </c>
      <c r="B384">
        <f t="shared" si="5"/>
        <v>9.9999999999997868E-3</v>
      </c>
    </row>
    <row r="385" spans="1:2">
      <c r="A385">
        <v>3.2699999999999743</v>
      </c>
      <c r="B385">
        <f t="shared" si="5"/>
        <v>9.9999999999997868E-3</v>
      </c>
    </row>
    <row r="386" spans="1:2">
      <c r="A386">
        <v>3.279999999999974</v>
      </c>
      <c r="B386">
        <f t="shared" si="5"/>
        <v>9.9999999999997868E-3</v>
      </c>
    </row>
    <row r="387" spans="1:2">
      <c r="A387">
        <v>3.2899999999999738</v>
      </c>
      <c r="B387">
        <f t="shared" si="5"/>
        <v>9.9999999999997868E-3</v>
      </c>
    </row>
    <row r="388" spans="1:2">
      <c r="A388">
        <v>3.2999999999999736</v>
      </c>
      <c r="B388">
        <f t="shared" si="5"/>
        <v>9.9999999999997868E-3</v>
      </c>
    </row>
    <row r="389" spans="1:2">
      <c r="A389">
        <v>3.3099999999999734</v>
      </c>
      <c r="B389">
        <f t="shared" si="5"/>
        <v>9.9999999999997868E-3</v>
      </c>
    </row>
    <row r="390" spans="1:2">
      <c r="A390">
        <v>3.3199999999999732</v>
      </c>
      <c r="B390">
        <f t="shared" si="5"/>
        <v>9.9999999999997868E-3</v>
      </c>
    </row>
    <row r="391" spans="1:2">
      <c r="A391">
        <v>3.329999999999973</v>
      </c>
      <c r="B391">
        <f t="shared" si="5"/>
        <v>9.9999999999997868E-3</v>
      </c>
    </row>
    <row r="392" spans="1:2">
      <c r="A392">
        <v>3.3399999999999728</v>
      </c>
      <c r="B392">
        <f t="shared" si="5"/>
        <v>9.9999999999997868E-3</v>
      </c>
    </row>
    <row r="393" spans="1:2">
      <c r="A393">
        <v>3.3499999999999726</v>
      </c>
      <c r="B393">
        <f t="shared" si="5"/>
        <v>9.9999999999997868E-3</v>
      </c>
    </row>
    <row r="394" spans="1:2">
      <c r="A394">
        <v>3.3599999999999723</v>
      </c>
      <c r="B394">
        <f t="shared" si="5"/>
        <v>9.9999999999997868E-3</v>
      </c>
    </row>
    <row r="395" spans="1:2">
      <c r="A395">
        <v>3.3699999999999721</v>
      </c>
      <c r="B395">
        <f t="shared" si="5"/>
        <v>9.9999999999997868E-3</v>
      </c>
    </row>
    <row r="396" spans="1:2">
      <c r="A396">
        <v>3.3799999999999719</v>
      </c>
      <c r="B396">
        <f t="shared" si="5"/>
        <v>9.9999999999997868E-3</v>
      </c>
    </row>
    <row r="397" spans="1:2">
      <c r="A397">
        <v>3.3899999999999717</v>
      </c>
      <c r="B397">
        <f t="shared" si="5"/>
        <v>9.9999999999997868E-3</v>
      </c>
    </row>
    <row r="398" spans="1:2">
      <c r="A398">
        <v>3.3999999999999715</v>
      </c>
      <c r="B398">
        <f t="shared" si="5"/>
        <v>9.9999999999997868E-3</v>
      </c>
    </row>
    <row r="399" spans="1:2">
      <c r="A399">
        <v>3.4099999999999713</v>
      </c>
      <c r="B399">
        <f t="shared" si="5"/>
        <v>9.9999999999997868E-3</v>
      </c>
    </row>
    <row r="400" spans="1:2">
      <c r="A400">
        <v>3.4199999999999711</v>
      </c>
      <c r="B400">
        <f t="shared" si="5"/>
        <v>9.9999999999997868E-3</v>
      </c>
    </row>
    <row r="401" spans="1:2">
      <c r="A401">
        <v>3.4299999999999708</v>
      </c>
      <c r="B401">
        <f t="shared" si="5"/>
        <v>9.9999999999997868E-3</v>
      </c>
    </row>
    <row r="402" spans="1:2">
      <c r="A402">
        <v>3.4399999999999706</v>
      </c>
      <c r="B402">
        <f t="shared" si="5"/>
        <v>9.9999999999997868E-3</v>
      </c>
    </row>
    <row r="403" spans="1:2">
      <c r="A403">
        <v>3.4499999999999704</v>
      </c>
      <c r="B403">
        <f t="shared" si="5"/>
        <v>9.9999999999997868E-3</v>
      </c>
    </row>
    <row r="404" spans="1:2">
      <c r="A404">
        <v>3.4599999999999702</v>
      </c>
      <c r="B404">
        <f t="shared" si="5"/>
        <v>9.9999999999997868E-3</v>
      </c>
    </row>
    <row r="405" spans="1:2">
      <c r="A405">
        <v>3.46999999999997</v>
      </c>
      <c r="B405">
        <f t="shared" si="5"/>
        <v>9.9999999999997868E-3</v>
      </c>
    </row>
    <row r="406" spans="1:2">
      <c r="A406">
        <v>3.4799999999999698</v>
      </c>
      <c r="B406">
        <f t="shared" si="5"/>
        <v>9.9999999999997868E-3</v>
      </c>
    </row>
    <row r="407" spans="1:2">
      <c r="A407">
        <v>3.4899999999999696</v>
      </c>
      <c r="B407">
        <f t="shared" si="5"/>
        <v>9.9999999999997868E-3</v>
      </c>
    </row>
    <row r="408" spans="1:2">
      <c r="A408">
        <v>3.4999999999999694</v>
      </c>
      <c r="B408">
        <f t="shared" si="5"/>
        <v>9.9999999999997868E-3</v>
      </c>
    </row>
    <row r="409" spans="1:2">
      <c r="A409">
        <v>3.5099999999999691</v>
      </c>
      <c r="B409">
        <f t="shared" si="5"/>
        <v>9.9999999999997868E-3</v>
      </c>
    </row>
    <row r="410" spans="1:2">
      <c r="A410">
        <v>3.5199999999999689</v>
      </c>
      <c r="B410">
        <f t="shared" si="5"/>
        <v>9.9999999999997868E-3</v>
      </c>
    </row>
    <row r="411" spans="1:2">
      <c r="A411">
        <v>3.5299999999999687</v>
      </c>
      <c r="B411">
        <f t="shared" si="5"/>
        <v>9.9999999999997868E-3</v>
      </c>
    </row>
    <row r="412" spans="1:2">
      <c r="A412">
        <v>3.5399999999999685</v>
      </c>
      <c r="B412">
        <f t="shared" si="5"/>
        <v>9.9999999999997868E-3</v>
      </c>
    </row>
    <row r="413" spans="1:2">
      <c r="A413">
        <v>3.5499999999999683</v>
      </c>
      <c r="B413">
        <f t="shared" si="5"/>
        <v>9.9999999999997868E-3</v>
      </c>
    </row>
    <row r="414" spans="1:2">
      <c r="A414">
        <v>3.5599999999999681</v>
      </c>
      <c r="B414">
        <f t="shared" si="5"/>
        <v>9.9999999999997868E-3</v>
      </c>
    </row>
    <row r="415" spans="1:2">
      <c r="A415">
        <v>3.5699999999999679</v>
      </c>
      <c r="B415">
        <f t="shared" si="5"/>
        <v>9.9999999999997868E-3</v>
      </c>
    </row>
    <row r="416" spans="1:2">
      <c r="A416">
        <v>3.5799999999999677</v>
      </c>
      <c r="B416">
        <f t="shared" si="5"/>
        <v>9.9999999999997868E-3</v>
      </c>
    </row>
    <row r="417" spans="1:2">
      <c r="A417">
        <v>3.5899999999999674</v>
      </c>
      <c r="B417">
        <f t="shared" si="5"/>
        <v>9.9999999999997868E-3</v>
      </c>
    </row>
    <row r="418" spans="1:2">
      <c r="A418">
        <v>3.5999999999999672</v>
      </c>
      <c r="B418">
        <f t="shared" si="5"/>
        <v>9.9999999999997868E-3</v>
      </c>
    </row>
    <row r="419" spans="1:2">
      <c r="A419">
        <v>3.609999999999967</v>
      </c>
      <c r="B419">
        <f t="shared" si="5"/>
        <v>9.9999999999997868E-3</v>
      </c>
    </row>
    <row r="420" spans="1:2">
      <c r="A420">
        <v>3.6199999999999668</v>
      </c>
      <c r="B420">
        <f t="shared" si="5"/>
        <v>9.9999999999997868E-3</v>
      </c>
    </row>
    <row r="421" spans="1:2">
      <c r="A421">
        <v>3.6299999999999666</v>
      </c>
      <c r="B421">
        <f t="shared" si="5"/>
        <v>9.9999999999997868E-3</v>
      </c>
    </row>
    <row r="422" spans="1:2">
      <c r="A422">
        <v>3.6399999999999664</v>
      </c>
      <c r="B422">
        <f t="shared" si="5"/>
        <v>9.9999999999997868E-3</v>
      </c>
    </row>
    <row r="423" spans="1:2">
      <c r="A423">
        <v>3.6499999999999662</v>
      </c>
      <c r="B423">
        <f t="shared" si="5"/>
        <v>9.9999999999997868E-3</v>
      </c>
    </row>
    <row r="424" spans="1:2">
      <c r="A424">
        <v>3.6599999999999659</v>
      </c>
      <c r="B424">
        <f t="shared" si="5"/>
        <v>9.9999999999997868E-3</v>
      </c>
    </row>
    <row r="425" spans="1:2">
      <c r="A425">
        <v>3.6699999999999657</v>
      </c>
      <c r="B425">
        <f t="shared" si="5"/>
        <v>9.9999999999997868E-3</v>
      </c>
    </row>
    <row r="426" spans="1:2">
      <c r="A426">
        <v>3.6799999999999655</v>
      </c>
      <c r="B426">
        <f t="shared" ref="B426:B489" si="6">A426-A425</f>
        <v>9.9999999999997868E-3</v>
      </c>
    </row>
    <row r="427" spans="1:2">
      <c r="A427">
        <v>3.6899999999999653</v>
      </c>
      <c r="B427">
        <f t="shared" si="6"/>
        <v>9.9999999999997868E-3</v>
      </c>
    </row>
    <row r="428" spans="1:2">
      <c r="A428">
        <v>3.6999999999999651</v>
      </c>
      <c r="B428">
        <f t="shared" si="6"/>
        <v>9.9999999999997868E-3</v>
      </c>
    </row>
    <row r="429" spans="1:2">
      <c r="A429">
        <v>3.7099999999999649</v>
      </c>
      <c r="B429">
        <f t="shared" si="6"/>
        <v>9.9999999999997868E-3</v>
      </c>
    </row>
    <row r="430" spans="1:2">
      <c r="A430">
        <v>3.7199999999999647</v>
      </c>
      <c r="B430">
        <f t="shared" si="6"/>
        <v>9.9999999999997868E-3</v>
      </c>
    </row>
    <row r="431" spans="1:2">
      <c r="A431">
        <v>3.7299999999999645</v>
      </c>
      <c r="B431">
        <f t="shared" si="6"/>
        <v>9.9999999999997868E-3</v>
      </c>
    </row>
    <row r="432" spans="1:2">
      <c r="A432">
        <v>3.7399999999999642</v>
      </c>
      <c r="B432">
        <f t="shared" si="6"/>
        <v>9.9999999999997868E-3</v>
      </c>
    </row>
    <row r="433" spans="1:2">
      <c r="A433">
        <v>3.749999999999964</v>
      </c>
      <c r="B433">
        <f t="shared" si="6"/>
        <v>9.9999999999997868E-3</v>
      </c>
    </row>
    <row r="434" spans="1:2">
      <c r="A434">
        <v>3.7599999999999638</v>
      </c>
      <c r="B434">
        <f t="shared" si="6"/>
        <v>9.9999999999997868E-3</v>
      </c>
    </row>
    <row r="435" spans="1:2">
      <c r="A435">
        <v>3.7699999999999636</v>
      </c>
      <c r="B435">
        <f t="shared" si="6"/>
        <v>9.9999999999997868E-3</v>
      </c>
    </row>
    <row r="436" spans="1:2">
      <c r="A436">
        <v>3.7799999999999634</v>
      </c>
      <c r="B436">
        <f t="shared" si="6"/>
        <v>9.9999999999997868E-3</v>
      </c>
    </row>
    <row r="437" spans="1:2">
      <c r="A437">
        <v>3.7899999999999632</v>
      </c>
      <c r="B437">
        <f t="shared" si="6"/>
        <v>9.9999999999997868E-3</v>
      </c>
    </row>
    <row r="438" spans="1:2">
      <c r="A438">
        <v>3.799999999999963</v>
      </c>
      <c r="B438">
        <f t="shared" si="6"/>
        <v>9.9999999999997868E-3</v>
      </c>
    </row>
    <row r="439" spans="1:2">
      <c r="A439">
        <v>3.8099999999999627</v>
      </c>
      <c r="B439">
        <f t="shared" si="6"/>
        <v>9.9999999999997868E-3</v>
      </c>
    </row>
    <row r="440" spans="1:2">
      <c r="A440">
        <v>3.8199999999999625</v>
      </c>
      <c r="B440">
        <f t="shared" si="6"/>
        <v>9.9999999999997868E-3</v>
      </c>
    </row>
    <row r="441" spans="1:2">
      <c r="A441">
        <v>3.8299999999999623</v>
      </c>
      <c r="B441">
        <f t="shared" si="6"/>
        <v>9.9999999999997868E-3</v>
      </c>
    </row>
    <row r="442" spans="1:2">
      <c r="A442">
        <v>3.8399999999999621</v>
      </c>
      <c r="B442">
        <f t="shared" si="6"/>
        <v>9.9999999999997868E-3</v>
      </c>
    </row>
    <row r="443" spans="1:2">
      <c r="A443">
        <v>3.8499999999999619</v>
      </c>
      <c r="B443">
        <f t="shared" si="6"/>
        <v>9.9999999999997868E-3</v>
      </c>
    </row>
    <row r="444" spans="1:2">
      <c r="A444">
        <v>3.8599999999999617</v>
      </c>
      <c r="B444">
        <f t="shared" si="6"/>
        <v>9.9999999999997868E-3</v>
      </c>
    </row>
    <row r="445" spans="1:2">
      <c r="A445">
        <v>3.8699999999999615</v>
      </c>
      <c r="B445">
        <f t="shared" si="6"/>
        <v>9.9999999999997868E-3</v>
      </c>
    </row>
    <row r="446" spans="1:2">
      <c r="A446">
        <v>3.8799999999999613</v>
      </c>
      <c r="B446">
        <f t="shared" si="6"/>
        <v>9.9999999999997868E-3</v>
      </c>
    </row>
    <row r="447" spans="1:2">
      <c r="A447">
        <v>3.889999999999961</v>
      </c>
      <c r="B447">
        <f t="shared" si="6"/>
        <v>9.9999999999997868E-3</v>
      </c>
    </row>
    <row r="448" spans="1:2">
      <c r="A448">
        <v>3.8999999999999608</v>
      </c>
      <c r="B448">
        <f t="shared" si="6"/>
        <v>9.9999999999997868E-3</v>
      </c>
    </row>
    <row r="449" spans="1:2">
      <c r="A449">
        <v>3.9099999999999606</v>
      </c>
      <c r="B449">
        <f t="shared" si="6"/>
        <v>9.9999999999997868E-3</v>
      </c>
    </row>
    <row r="450" spans="1:2">
      <c r="A450">
        <v>3.9199999999999604</v>
      </c>
      <c r="B450">
        <f t="shared" si="6"/>
        <v>9.9999999999997868E-3</v>
      </c>
    </row>
    <row r="451" spans="1:2">
      <c r="A451">
        <v>3.9299999999999602</v>
      </c>
      <c r="B451">
        <f t="shared" si="6"/>
        <v>9.9999999999997868E-3</v>
      </c>
    </row>
    <row r="452" spans="1:2">
      <c r="A452">
        <v>3.93999999999996</v>
      </c>
      <c r="B452">
        <f t="shared" si="6"/>
        <v>9.9999999999997868E-3</v>
      </c>
    </row>
    <row r="453" spans="1:2">
      <c r="A453">
        <v>3.9499999999999598</v>
      </c>
      <c r="B453">
        <f t="shared" si="6"/>
        <v>9.9999999999997868E-3</v>
      </c>
    </row>
    <row r="454" spans="1:2">
      <c r="A454">
        <v>3.9599999999999596</v>
      </c>
      <c r="B454">
        <f t="shared" si="6"/>
        <v>9.9999999999997868E-3</v>
      </c>
    </row>
    <row r="455" spans="1:2">
      <c r="A455">
        <v>3.9699999999999593</v>
      </c>
      <c r="B455">
        <f t="shared" si="6"/>
        <v>9.9999999999997868E-3</v>
      </c>
    </row>
    <row r="456" spans="1:2">
      <c r="A456">
        <v>3.9799999999999591</v>
      </c>
      <c r="B456">
        <f t="shared" si="6"/>
        <v>9.9999999999997868E-3</v>
      </c>
    </row>
    <row r="457" spans="1:2">
      <c r="A457">
        <v>3.9899999999999589</v>
      </c>
      <c r="B457">
        <f t="shared" si="6"/>
        <v>9.9999999999997868E-3</v>
      </c>
    </row>
    <row r="458" spans="1:2">
      <c r="A458">
        <v>3.9999999999999587</v>
      </c>
      <c r="B458">
        <f t="shared" si="6"/>
        <v>9.9999999999997868E-3</v>
      </c>
    </row>
    <row r="459" spans="1:2">
      <c r="A459">
        <v>4.0099999999999589</v>
      </c>
      <c r="B459">
        <f t="shared" si="6"/>
        <v>1.0000000000000231E-2</v>
      </c>
    </row>
    <row r="460" spans="1:2">
      <c r="A460">
        <v>4.0199999999999587</v>
      </c>
      <c r="B460">
        <f t="shared" si="6"/>
        <v>9.9999999999997868E-3</v>
      </c>
    </row>
    <row r="461" spans="1:2">
      <c r="A461">
        <v>4.0299999999999585</v>
      </c>
      <c r="B461">
        <f t="shared" si="6"/>
        <v>9.9999999999997868E-3</v>
      </c>
    </row>
    <row r="462" spans="1:2">
      <c r="A462">
        <v>4.0399999999999583</v>
      </c>
      <c r="B462">
        <f t="shared" si="6"/>
        <v>9.9999999999997868E-3</v>
      </c>
    </row>
    <row r="463" spans="1:2">
      <c r="A463">
        <v>4.0499999999999581</v>
      </c>
      <c r="B463">
        <f t="shared" si="6"/>
        <v>9.9999999999997868E-3</v>
      </c>
    </row>
    <row r="464" spans="1:2">
      <c r="A464">
        <v>4.0599999999999579</v>
      </c>
      <c r="B464">
        <f t="shared" si="6"/>
        <v>9.9999999999997868E-3</v>
      </c>
    </row>
    <row r="465" spans="1:2">
      <c r="A465">
        <v>4.0699999999999577</v>
      </c>
      <c r="B465">
        <f t="shared" si="6"/>
        <v>9.9999999999997868E-3</v>
      </c>
    </row>
    <row r="466" spans="1:2">
      <c r="A466">
        <v>4.0799999999999574</v>
      </c>
      <c r="B466">
        <f t="shared" si="6"/>
        <v>9.9999999999997868E-3</v>
      </c>
    </row>
    <row r="467" spans="1:2">
      <c r="A467">
        <v>4.0899999999999572</v>
      </c>
      <c r="B467">
        <f t="shared" si="6"/>
        <v>9.9999999999997868E-3</v>
      </c>
    </row>
    <row r="468" spans="1:2">
      <c r="A468">
        <v>4.099999999999957</v>
      </c>
      <c r="B468">
        <f t="shared" si="6"/>
        <v>9.9999999999997868E-3</v>
      </c>
    </row>
    <row r="469" spans="1:2">
      <c r="A469">
        <v>4.1099999999999568</v>
      </c>
      <c r="B469">
        <f t="shared" si="6"/>
        <v>9.9999999999997868E-3</v>
      </c>
    </row>
    <row r="470" spans="1:2">
      <c r="A470">
        <v>4.1199999999999566</v>
      </c>
      <c r="B470">
        <f t="shared" si="6"/>
        <v>9.9999999999997868E-3</v>
      </c>
    </row>
    <row r="471" spans="1:2">
      <c r="A471">
        <v>4.1299999999999564</v>
      </c>
      <c r="B471">
        <f t="shared" si="6"/>
        <v>9.9999999999997868E-3</v>
      </c>
    </row>
    <row r="472" spans="1:2">
      <c r="A472">
        <v>4.1399999999999562</v>
      </c>
      <c r="B472">
        <f t="shared" si="6"/>
        <v>9.9999999999997868E-3</v>
      </c>
    </row>
    <row r="473" spans="1:2">
      <c r="A473">
        <v>4.1499999999999559</v>
      </c>
      <c r="B473">
        <f t="shared" si="6"/>
        <v>9.9999999999997868E-3</v>
      </c>
    </row>
    <row r="474" spans="1:2">
      <c r="A474">
        <v>4.1599999999999557</v>
      </c>
      <c r="B474">
        <f t="shared" si="6"/>
        <v>9.9999999999997868E-3</v>
      </c>
    </row>
    <row r="475" spans="1:2">
      <c r="A475">
        <v>4.1699999999999555</v>
      </c>
      <c r="B475">
        <f t="shared" si="6"/>
        <v>9.9999999999997868E-3</v>
      </c>
    </row>
    <row r="476" spans="1:2">
      <c r="A476">
        <v>4.1799999999999553</v>
      </c>
      <c r="B476">
        <f t="shared" si="6"/>
        <v>9.9999999999997868E-3</v>
      </c>
    </row>
    <row r="477" spans="1:2">
      <c r="A477">
        <v>4.1899999999999551</v>
      </c>
      <c r="B477">
        <f t="shared" si="6"/>
        <v>9.9999999999997868E-3</v>
      </c>
    </row>
    <row r="478" spans="1:2">
      <c r="A478">
        <v>4.1999999999999549</v>
      </c>
      <c r="B478">
        <f t="shared" si="6"/>
        <v>9.9999999999997868E-3</v>
      </c>
    </row>
    <row r="479" spans="1:2">
      <c r="A479">
        <v>4.2099999999999547</v>
      </c>
      <c r="B479">
        <f t="shared" si="6"/>
        <v>9.9999999999997868E-3</v>
      </c>
    </row>
    <row r="480" spans="1:2">
      <c r="A480">
        <v>4.2199999999999545</v>
      </c>
      <c r="B480">
        <f t="shared" si="6"/>
        <v>9.9999999999997868E-3</v>
      </c>
    </row>
    <row r="481" spans="1:2">
      <c r="A481">
        <v>4.2299999999999542</v>
      </c>
      <c r="B481">
        <f t="shared" si="6"/>
        <v>9.9999999999997868E-3</v>
      </c>
    </row>
    <row r="482" spans="1:2">
      <c r="A482">
        <v>4.239999999999954</v>
      </c>
      <c r="B482">
        <f t="shared" si="6"/>
        <v>9.9999999999997868E-3</v>
      </c>
    </row>
    <row r="483" spans="1:2">
      <c r="A483">
        <v>4.2499999999999538</v>
      </c>
      <c r="B483">
        <f t="shared" si="6"/>
        <v>9.9999999999997868E-3</v>
      </c>
    </row>
    <row r="484" spans="1:2">
      <c r="A484">
        <v>4.2599999999999536</v>
      </c>
      <c r="B484">
        <f t="shared" si="6"/>
        <v>9.9999999999997868E-3</v>
      </c>
    </row>
    <row r="485" spans="1:2">
      <c r="A485">
        <v>4.2699999999999534</v>
      </c>
      <c r="B485">
        <f t="shared" si="6"/>
        <v>9.9999999999997868E-3</v>
      </c>
    </row>
    <row r="486" spans="1:2">
      <c r="A486">
        <v>4.2799999999999532</v>
      </c>
      <c r="B486">
        <f t="shared" si="6"/>
        <v>9.9999999999997868E-3</v>
      </c>
    </row>
    <row r="487" spans="1:2">
      <c r="A487">
        <v>4.289999999999953</v>
      </c>
      <c r="B487">
        <f t="shared" si="6"/>
        <v>9.9999999999997868E-3</v>
      </c>
    </row>
    <row r="488" spans="1:2">
      <c r="A488">
        <v>4.2999999999999527</v>
      </c>
      <c r="B488">
        <f t="shared" si="6"/>
        <v>9.9999999999997868E-3</v>
      </c>
    </row>
    <row r="489" spans="1:2">
      <c r="A489">
        <v>4.3099999999999525</v>
      </c>
      <c r="B489">
        <f t="shared" si="6"/>
        <v>9.9999999999997868E-3</v>
      </c>
    </row>
    <row r="490" spans="1:2">
      <c r="A490">
        <v>4.3199999999999523</v>
      </c>
      <c r="B490">
        <f t="shared" ref="B490:B553" si="7">A490-A489</f>
        <v>9.9999999999997868E-3</v>
      </c>
    </row>
    <row r="491" spans="1:2">
      <c r="A491">
        <v>4.3299999999999521</v>
      </c>
      <c r="B491">
        <f t="shared" si="7"/>
        <v>9.9999999999997868E-3</v>
      </c>
    </row>
    <row r="492" spans="1:2">
      <c r="A492">
        <v>4.3399999999999519</v>
      </c>
      <c r="B492">
        <f t="shared" si="7"/>
        <v>9.9999999999997868E-3</v>
      </c>
    </row>
    <row r="493" spans="1:2">
      <c r="A493">
        <v>4.3499999999999517</v>
      </c>
      <c r="B493">
        <f t="shared" si="7"/>
        <v>9.9999999999997868E-3</v>
      </c>
    </row>
    <row r="494" spans="1:2">
      <c r="A494">
        <v>4.3599999999999515</v>
      </c>
      <c r="B494">
        <f t="shared" si="7"/>
        <v>9.9999999999997868E-3</v>
      </c>
    </row>
    <row r="495" spans="1:2">
      <c r="A495">
        <v>4.3699999999999513</v>
      </c>
      <c r="B495">
        <f t="shared" si="7"/>
        <v>9.9999999999997868E-3</v>
      </c>
    </row>
    <row r="496" spans="1:2">
      <c r="A496">
        <v>4.379999999999951</v>
      </c>
      <c r="B496">
        <f t="shared" si="7"/>
        <v>9.9999999999997868E-3</v>
      </c>
    </row>
    <row r="497" spans="1:2">
      <c r="A497">
        <v>4.3899999999999508</v>
      </c>
      <c r="B497">
        <f t="shared" si="7"/>
        <v>9.9999999999997868E-3</v>
      </c>
    </row>
    <row r="498" spans="1:2">
      <c r="A498">
        <v>4.3999999999999506</v>
      </c>
      <c r="B498">
        <f t="shared" si="7"/>
        <v>9.9999999999997868E-3</v>
      </c>
    </row>
    <row r="499" spans="1:2">
      <c r="A499">
        <v>4.4099999999999504</v>
      </c>
      <c r="B499">
        <f t="shared" si="7"/>
        <v>9.9999999999997868E-3</v>
      </c>
    </row>
    <row r="500" spans="1:2">
      <c r="A500">
        <v>4.4199999999999502</v>
      </c>
      <c r="B500">
        <f t="shared" si="7"/>
        <v>9.9999999999997868E-3</v>
      </c>
    </row>
    <row r="501" spans="1:2">
      <c r="A501">
        <v>4.42999999999995</v>
      </c>
      <c r="B501">
        <f t="shared" si="7"/>
        <v>9.9999999999997868E-3</v>
      </c>
    </row>
    <row r="502" spans="1:2">
      <c r="A502">
        <v>4.4399999999999498</v>
      </c>
      <c r="B502">
        <f t="shared" si="7"/>
        <v>9.9999999999997868E-3</v>
      </c>
    </row>
    <row r="503" spans="1:2">
      <c r="A503">
        <v>4.4499999999999496</v>
      </c>
      <c r="B503">
        <f t="shared" si="7"/>
        <v>9.9999999999997868E-3</v>
      </c>
    </row>
    <row r="504" spans="1:2">
      <c r="A504">
        <v>4.4599999999999493</v>
      </c>
      <c r="B504">
        <f t="shared" si="7"/>
        <v>9.9999999999997868E-3</v>
      </c>
    </row>
    <row r="505" spans="1:2">
      <c r="A505">
        <v>4.4699999999999491</v>
      </c>
      <c r="B505">
        <f t="shared" si="7"/>
        <v>9.9999999999997868E-3</v>
      </c>
    </row>
    <row r="506" spans="1:2">
      <c r="A506">
        <v>4.4799999999999489</v>
      </c>
      <c r="B506">
        <f t="shared" si="7"/>
        <v>9.9999999999997868E-3</v>
      </c>
    </row>
    <row r="507" spans="1:2">
      <c r="A507">
        <v>4.4899999999999487</v>
      </c>
      <c r="B507">
        <f t="shared" si="7"/>
        <v>9.9999999999997868E-3</v>
      </c>
    </row>
    <row r="508" spans="1:2">
      <c r="A508">
        <v>4.4999999999999485</v>
      </c>
      <c r="B508">
        <f t="shared" si="7"/>
        <v>9.9999999999997868E-3</v>
      </c>
    </row>
    <row r="509" spans="1:2">
      <c r="A509">
        <v>4.5099999999999483</v>
      </c>
      <c r="B509">
        <f t="shared" si="7"/>
        <v>9.9999999999997868E-3</v>
      </c>
    </row>
    <row r="510" spans="1:2">
      <c r="A510">
        <v>4.5199999999999481</v>
      </c>
      <c r="B510">
        <f t="shared" si="7"/>
        <v>9.9999999999997868E-3</v>
      </c>
    </row>
    <row r="511" spans="1:2">
      <c r="A511">
        <v>4.5299999999999478</v>
      </c>
      <c r="B511">
        <f t="shared" si="7"/>
        <v>9.9999999999997868E-3</v>
      </c>
    </row>
    <row r="512" spans="1:2">
      <c r="A512">
        <v>4.5399999999999476</v>
      </c>
      <c r="B512">
        <f t="shared" si="7"/>
        <v>9.9999999999997868E-3</v>
      </c>
    </row>
    <row r="513" spans="1:2">
      <c r="A513">
        <v>4.5499999999999474</v>
      </c>
      <c r="B513">
        <f t="shared" si="7"/>
        <v>9.9999999999997868E-3</v>
      </c>
    </row>
    <row r="514" spans="1:2">
      <c r="A514">
        <v>4.5599999999999472</v>
      </c>
      <c r="B514">
        <f t="shared" si="7"/>
        <v>9.9999999999997868E-3</v>
      </c>
    </row>
    <row r="515" spans="1:2">
      <c r="A515">
        <v>4.569999999999947</v>
      </c>
      <c r="B515">
        <f t="shared" si="7"/>
        <v>9.9999999999997868E-3</v>
      </c>
    </row>
    <row r="516" spans="1:2">
      <c r="A516">
        <v>4.5799999999999468</v>
      </c>
      <c r="B516">
        <f t="shared" si="7"/>
        <v>9.9999999999997868E-3</v>
      </c>
    </row>
    <row r="517" spans="1:2">
      <c r="A517">
        <v>4.5899999999999466</v>
      </c>
      <c r="B517">
        <f t="shared" si="7"/>
        <v>9.9999999999997868E-3</v>
      </c>
    </row>
    <row r="518" spans="1:2">
      <c r="A518">
        <v>4.5999999999999464</v>
      </c>
      <c r="B518">
        <f t="shared" si="7"/>
        <v>9.9999999999997868E-3</v>
      </c>
    </row>
    <row r="519" spans="1:2">
      <c r="A519">
        <v>4.6099999999999461</v>
      </c>
      <c r="B519">
        <f t="shared" si="7"/>
        <v>9.9999999999997868E-3</v>
      </c>
    </row>
    <row r="520" spans="1:2">
      <c r="A520">
        <v>4.6199999999999459</v>
      </c>
      <c r="B520">
        <f t="shared" si="7"/>
        <v>9.9999999999997868E-3</v>
      </c>
    </row>
    <row r="521" spans="1:2">
      <c r="A521">
        <v>4.6299999999999457</v>
      </c>
      <c r="B521">
        <f t="shared" si="7"/>
        <v>9.9999999999997868E-3</v>
      </c>
    </row>
    <row r="522" spans="1:2">
      <c r="A522">
        <v>4.6399999999999455</v>
      </c>
      <c r="B522">
        <f t="shared" si="7"/>
        <v>9.9999999999997868E-3</v>
      </c>
    </row>
    <row r="523" spans="1:2">
      <c r="A523">
        <v>4.6499999999999453</v>
      </c>
      <c r="B523">
        <f t="shared" si="7"/>
        <v>9.9999999999997868E-3</v>
      </c>
    </row>
    <row r="524" spans="1:2">
      <c r="A524">
        <v>4.6599999999999451</v>
      </c>
      <c r="B524">
        <f t="shared" si="7"/>
        <v>9.9999999999997868E-3</v>
      </c>
    </row>
    <row r="525" spans="1:2">
      <c r="A525">
        <v>4.6699999999999449</v>
      </c>
      <c r="B525">
        <f t="shared" si="7"/>
        <v>9.9999999999997868E-3</v>
      </c>
    </row>
    <row r="526" spans="1:2">
      <c r="A526">
        <v>4.6799999999999446</v>
      </c>
      <c r="B526">
        <f t="shared" si="7"/>
        <v>9.9999999999997868E-3</v>
      </c>
    </row>
    <row r="527" spans="1:2">
      <c r="A527">
        <v>4.6899999999999444</v>
      </c>
      <c r="B527">
        <f t="shared" si="7"/>
        <v>9.9999999999997868E-3</v>
      </c>
    </row>
    <row r="528" spans="1:2">
      <c r="A528">
        <v>4.6999999999999442</v>
      </c>
      <c r="B528">
        <f t="shared" si="7"/>
        <v>9.9999999999997868E-3</v>
      </c>
    </row>
    <row r="529" spans="1:2">
      <c r="A529">
        <v>4.709999999999944</v>
      </c>
      <c r="B529">
        <f t="shared" si="7"/>
        <v>9.9999999999997868E-3</v>
      </c>
    </row>
    <row r="530" spans="1:2">
      <c r="A530">
        <v>4.7199999999999438</v>
      </c>
      <c r="B530">
        <f t="shared" si="7"/>
        <v>9.9999999999997868E-3</v>
      </c>
    </row>
    <row r="531" spans="1:2">
      <c r="A531">
        <v>4.7299999999999436</v>
      </c>
      <c r="B531">
        <f t="shared" si="7"/>
        <v>9.9999999999997868E-3</v>
      </c>
    </row>
    <row r="532" spans="1:2">
      <c r="A532">
        <v>4.7399999999999434</v>
      </c>
      <c r="B532">
        <f t="shared" si="7"/>
        <v>9.9999999999997868E-3</v>
      </c>
    </row>
    <row r="533" spans="1:2">
      <c r="A533">
        <v>4.7499999999999432</v>
      </c>
      <c r="B533">
        <f t="shared" si="7"/>
        <v>9.9999999999997868E-3</v>
      </c>
    </row>
    <row r="534" spans="1:2">
      <c r="A534">
        <v>4.7599999999999429</v>
      </c>
      <c r="B534">
        <f t="shared" si="7"/>
        <v>9.9999999999997868E-3</v>
      </c>
    </row>
    <row r="535" spans="1:2">
      <c r="A535">
        <v>4.7699999999999427</v>
      </c>
      <c r="B535">
        <f t="shared" si="7"/>
        <v>9.9999999999997868E-3</v>
      </c>
    </row>
    <row r="536" spans="1:2">
      <c r="A536">
        <v>4.7799999999999425</v>
      </c>
      <c r="B536">
        <f t="shared" si="7"/>
        <v>9.9999999999997868E-3</v>
      </c>
    </row>
    <row r="537" spans="1:2">
      <c r="A537">
        <v>4.7899999999999423</v>
      </c>
      <c r="B537">
        <f t="shared" si="7"/>
        <v>9.9999999999997868E-3</v>
      </c>
    </row>
    <row r="538" spans="1:2">
      <c r="A538">
        <v>4.7999999999999421</v>
      </c>
      <c r="B538">
        <f t="shared" si="7"/>
        <v>9.9999999999997868E-3</v>
      </c>
    </row>
    <row r="539" spans="1:2">
      <c r="A539">
        <v>4.8099999999999419</v>
      </c>
      <c r="B539">
        <f t="shared" si="7"/>
        <v>9.9999999999997868E-3</v>
      </c>
    </row>
    <row r="540" spans="1:2">
      <c r="A540">
        <v>4.8199999999999417</v>
      </c>
      <c r="B540">
        <f t="shared" si="7"/>
        <v>9.9999999999997868E-3</v>
      </c>
    </row>
    <row r="541" spans="1:2">
      <c r="A541">
        <v>4.8299999999999415</v>
      </c>
      <c r="B541">
        <f t="shared" si="7"/>
        <v>9.9999999999997868E-3</v>
      </c>
    </row>
    <row r="542" spans="1:2">
      <c r="A542">
        <v>4.8399999999999412</v>
      </c>
      <c r="B542">
        <f t="shared" si="7"/>
        <v>9.9999999999997868E-3</v>
      </c>
    </row>
    <row r="543" spans="1:2">
      <c r="A543">
        <v>4.849999999999941</v>
      </c>
      <c r="B543">
        <f t="shared" si="7"/>
        <v>9.9999999999997868E-3</v>
      </c>
    </row>
    <row r="544" spans="1:2">
      <c r="A544">
        <v>4.8599999999999408</v>
      </c>
      <c r="B544">
        <f t="shared" si="7"/>
        <v>9.9999999999997868E-3</v>
      </c>
    </row>
    <row r="545" spans="1:2">
      <c r="A545">
        <v>4.8699999999999406</v>
      </c>
      <c r="B545">
        <f t="shared" si="7"/>
        <v>9.9999999999997868E-3</v>
      </c>
    </row>
    <row r="546" spans="1:2">
      <c r="A546">
        <v>4.8799999999999404</v>
      </c>
      <c r="B546">
        <f t="shared" si="7"/>
        <v>9.9999999999997868E-3</v>
      </c>
    </row>
    <row r="547" spans="1:2">
      <c r="A547">
        <v>4.8899999999999402</v>
      </c>
      <c r="B547">
        <f t="shared" si="7"/>
        <v>9.9999999999997868E-3</v>
      </c>
    </row>
    <row r="548" spans="1:2">
      <c r="A548">
        <v>4.89999999999994</v>
      </c>
      <c r="B548">
        <f t="shared" si="7"/>
        <v>9.9999999999997868E-3</v>
      </c>
    </row>
    <row r="549" spans="1:2">
      <c r="A549">
        <v>4.9099999999999397</v>
      </c>
      <c r="B549">
        <f t="shared" si="7"/>
        <v>9.9999999999997868E-3</v>
      </c>
    </row>
    <row r="550" spans="1:2">
      <c r="A550">
        <v>4.9199999999999395</v>
      </c>
      <c r="B550">
        <f t="shared" si="7"/>
        <v>9.9999999999997868E-3</v>
      </c>
    </row>
    <row r="551" spans="1:2">
      <c r="A551">
        <v>4.9299999999999393</v>
      </c>
      <c r="B551">
        <f t="shared" si="7"/>
        <v>9.9999999999997868E-3</v>
      </c>
    </row>
    <row r="552" spans="1:2">
      <c r="A552">
        <v>4.9399999999999391</v>
      </c>
      <c r="B552">
        <f t="shared" si="7"/>
        <v>9.9999999999997868E-3</v>
      </c>
    </row>
    <row r="553" spans="1:2">
      <c r="A553">
        <v>4.9499999999999389</v>
      </c>
      <c r="B553">
        <f t="shared" si="7"/>
        <v>9.9999999999997868E-3</v>
      </c>
    </row>
    <row r="554" spans="1:2">
      <c r="A554">
        <v>4.9599999999999387</v>
      </c>
      <c r="B554">
        <f t="shared" ref="B554:B617" si="8">A554-A553</f>
        <v>9.9999999999997868E-3</v>
      </c>
    </row>
    <row r="555" spans="1:2">
      <c r="A555">
        <v>4.9699999999999385</v>
      </c>
      <c r="B555">
        <f t="shared" si="8"/>
        <v>9.9999999999997868E-3</v>
      </c>
    </row>
    <row r="556" spans="1:2">
      <c r="A556">
        <v>4.9799999999999383</v>
      </c>
      <c r="B556">
        <f t="shared" si="8"/>
        <v>9.9999999999997868E-3</v>
      </c>
    </row>
    <row r="557" spans="1:2">
      <c r="A557">
        <v>4.989999999999938</v>
      </c>
      <c r="B557">
        <f t="shared" si="8"/>
        <v>9.9999999999997868E-3</v>
      </c>
    </row>
    <row r="558" spans="1:2">
      <c r="A558">
        <v>4.9999999999999378</v>
      </c>
      <c r="B558">
        <f t="shared" si="8"/>
        <v>9.9999999999997868E-3</v>
      </c>
    </row>
    <row r="559" spans="1:2">
      <c r="A559">
        <v>5.0099999999999376</v>
      </c>
      <c r="B559">
        <f t="shared" si="8"/>
        <v>9.9999999999997868E-3</v>
      </c>
    </row>
    <row r="560" spans="1:2">
      <c r="A560">
        <v>5.0199999999999374</v>
      </c>
      <c r="B560">
        <f t="shared" si="8"/>
        <v>9.9999999999997868E-3</v>
      </c>
    </row>
    <row r="561" spans="1:2">
      <c r="A561">
        <v>5.0299999999999372</v>
      </c>
      <c r="B561">
        <f t="shared" si="8"/>
        <v>9.9999999999997868E-3</v>
      </c>
    </row>
    <row r="562" spans="1:2">
      <c r="A562">
        <v>5.039999999999937</v>
      </c>
      <c r="B562">
        <f t="shared" si="8"/>
        <v>9.9999999999997868E-3</v>
      </c>
    </row>
    <row r="563" spans="1:2">
      <c r="A563">
        <v>5.0499999999999368</v>
      </c>
      <c r="B563">
        <f t="shared" si="8"/>
        <v>9.9999999999997868E-3</v>
      </c>
    </row>
    <row r="564" spans="1:2">
      <c r="A564">
        <v>5.0599999999999365</v>
      </c>
      <c r="B564">
        <f t="shared" si="8"/>
        <v>9.9999999999997868E-3</v>
      </c>
    </row>
    <row r="565" spans="1:2">
      <c r="A565">
        <v>5.0699999999999363</v>
      </c>
      <c r="B565">
        <f t="shared" si="8"/>
        <v>9.9999999999997868E-3</v>
      </c>
    </row>
    <row r="566" spans="1:2">
      <c r="A566">
        <v>5.0799999999999361</v>
      </c>
      <c r="B566">
        <f t="shared" si="8"/>
        <v>9.9999999999997868E-3</v>
      </c>
    </row>
    <row r="567" spans="1:2">
      <c r="A567">
        <v>5.0899999999999359</v>
      </c>
      <c r="B567">
        <f t="shared" si="8"/>
        <v>9.9999999999997868E-3</v>
      </c>
    </row>
    <row r="568" spans="1:2">
      <c r="A568">
        <v>5.0999999999999357</v>
      </c>
      <c r="B568">
        <f t="shared" si="8"/>
        <v>9.9999999999997868E-3</v>
      </c>
    </row>
    <row r="569" spans="1:2">
      <c r="A569">
        <v>5.1099999999999355</v>
      </c>
      <c r="B569">
        <f t="shared" si="8"/>
        <v>9.9999999999997868E-3</v>
      </c>
    </row>
    <row r="570" spans="1:2">
      <c r="A570">
        <v>5.1199999999999353</v>
      </c>
      <c r="B570">
        <f t="shared" si="8"/>
        <v>9.9999999999997868E-3</v>
      </c>
    </row>
    <row r="571" spans="1:2">
      <c r="A571">
        <v>5.1299999999999351</v>
      </c>
      <c r="B571">
        <f t="shared" si="8"/>
        <v>9.9999999999997868E-3</v>
      </c>
    </row>
    <row r="572" spans="1:2">
      <c r="A572">
        <v>5.1399999999999348</v>
      </c>
      <c r="B572">
        <f t="shared" si="8"/>
        <v>9.9999999999997868E-3</v>
      </c>
    </row>
    <row r="573" spans="1:2">
      <c r="A573">
        <v>5.1499999999999346</v>
      </c>
      <c r="B573">
        <f t="shared" si="8"/>
        <v>9.9999999999997868E-3</v>
      </c>
    </row>
    <row r="574" spans="1:2">
      <c r="A574">
        <v>5.1599999999999344</v>
      </c>
      <c r="B574">
        <f t="shared" si="8"/>
        <v>9.9999999999997868E-3</v>
      </c>
    </row>
    <row r="575" spans="1:2">
      <c r="A575">
        <v>5.1699999999999342</v>
      </c>
      <c r="B575">
        <f t="shared" si="8"/>
        <v>9.9999999999997868E-3</v>
      </c>
    </row>
    <row r="576" spans="1:2">
      <c r="A576">
        <v>5.179999999999934</v>
      </c>
      <c r="B576">
        <f t="shared" si="8"/>
        <v>9.9999999999997868E-3</v>
      </c>
    </row>
    <row r="577" spans="1:2">
      <c r="A577">
        <v>5.1899999999999338</v>
      </c>
      <c r="B577">
        <f t="shared" si="8"/>
        <v>9.9999999999997868E-3</v>
      </c>
    </row>
    <row r="578" spans="1:2">
      <c r="A578">
        <v>5.1999999999999336</v>
      </c>
      <c r="B578">
        <f t="shared" si="8"/>
        <v>9.9999999999997868E-3</v>
      </c>
    </row>
    <row r="579" spans="1:2">
      <c r="A579">
        <v>5.2099999999999334</v>
      </c>
      <c r="B579">
        <f t="shared" si="8"/>
        <v>9.9999999999997868E-3</v>
      </c>
    </row>
    <row r="580" spans="1:2">
      <c r="A580">
        <v>5.2199999999999331</v>
      </c>
      <c r="B580">
        <f t="shared" si="8"/>
        <v>9.9999999999997868E-3</v>
      </c>
    </row>
    <row r="581" spans="1:2">
      <c r="A581">
        <v>5.2299999999999329</v>
      </c>
      <c r="B581">
        <f t="shared" si="8"/>
        <v>9.9999999999997868E-3</v>
      </c>
    </row>
    <row r="582" spans="1:2">
      <c r="A582">
        <v>5.2399999999999327</v>
      </c>
      <c r="B582">
        <f t="shared" si="8"/>
        <v>9.9999999999997868E-3</v>
      </c>
    </row>
    <row r="583" spans="1:2">
      <c r="A583">
        <v>5.2499999999999325</v>
      </c>
      <c r="B583">
        <f t="shared" si="8"/>
        <v>9.9999999999997868E-3</v>
      </c>
    </row>
    <row r="584" spans="1:2">
      <c r="A584">
        <v>5.2599999999999323</v>
      </c>
      <c r="B584">
        <f t="shared" si="8"/>
        <v>9.9999999999997868E-3</v>
      </c>
    </row>
    <row r="585" spans="1:2">
      <c r="A585">
        <v>5.2699999999999321</v>
      </c>
      <c r="B585">
        <f t="shared" si="8"/>
        <v>9.9999999999997868E-3</v>
      </c>
    </row>
    <row r="586" spans="1:2">
      <c r="A586">
        <v>5.2799999999999319</v>
      </c>
      <c r="B586">
        <f t="shared" si="8"/>
        <v>9.9999999999997868E-3</v>
      </c>
    </row>
    <row r="587" spans="1:2">
      <c r="A587">
        <v>5.2899999999999316</v>
      </c>
      <c r="B587">
        <f t="shared" si="8"/>
        <v>9.9999999999997868E-3</v>
      </c>
    </row>
    <row r="588" spans="1:2">
      <c r="A588">
        <v>5.2999999999999314</v>
      </c>
      <c r="B588">
        <f t="shared" si="8"/>
        <v>9.9999999999997868E-3</v>
      </c>
    </row>
    <row r="589" spans="1:2">
      <c r="A589">
        <v>5.3099999999999312</v>
      </c>
      <c r="B589">
        <f t="shared" si="8"/>
        <v>9.9999999999997868E-3</v>
      </c>
    </row>
    <row r="590" spans="1:2">
      <c r="A590">
        <v>5.319999999999931</v>
      </c>
      <c r="B590">
        <f t="shared" si="8"/>
        <v>9.9999999999997868E-3</v>
      </c>
    </row>
    <row r="591" spans="1:2">
      <c r="A591">
        <v>5.3299999999999308</v>
      </c>
      <c r="B591">
        <f t="shared" si="8"/>
        <v>9.9999999999997868E-3</v>
      </c>
    </row>
    <row r="592" spans="1:2">
      <c r="A592">
        <v>5.3399999999999306</v>
      </c>
      <c r="B592">
        <f t="shared" si="8"/>
        <v>9.9999999999997868E-3</v>
      </c>
    </row>
    <row r="593" spans="1:2">
      <c r="A593">
        <v>5.3499999999999304</v>
      </c>
      <c r="B593">
        <f t="shared" si="8"/>
        <v>9.9999999999997868E-3</v>
      </c>
    </row>
    <row r="594" spans="1:2">
      <c r="A594">
        <v>5.3599999999999302</v>
      </c>
      <c r="B594">
        <f t="shared" si="8"/>
        <v>9.9999999999997868E-3</v>
      </c>
    </row>
    <row r="595" spans="1:2">
      <c r="A595">
        <v>5.3699999999999299</v>
      </c>
      <c r="B595">
        <f t="shared" si="8"/>
        <v>9.9999999999997868E-3</v>
      </c>
    </row>
    <row r="596" spans="1:2">
      <c r="A596">
        <v>5.3799999999999297</v>
      </c>
      <c r="B596">
        <f t="shared" si="8"/>
        <v>9.9999999999997868E-3</v>
      </c>
    </row>
    <row r="597" spans="1:2">
      <c r="A597">
        <v>5.3899999999999295</v>
      </c>
      <c r="B597">
        <f t="shared" si="8"/>
        <v>9.9999999999997868E-3</v>
      </c>
    </row>
    <row r="598" spans="1:2">
      <c r="A598">
        <v>5.3999999999999293</v>
      </c>
      <c r="B598">
        <f t="shared" si="8"/>
        <v>9.9999999999997868E-3</v>
      </c>
    </row>
    <row r="599" spans="1:2">
      <c r="A599">
        <v>5.4099999999999291</v>
      </c>
      <c r="B599">
        <f t="shared" si="8"/>
        <v>9.9999999999997868E-3</v>
      </c>
    </row>
    <row r="600" spans="1:2">
      <c r="A600">
        <v>5.4199999999999289</v>
      </c>
      <c r="B600">
        <f t="shared" si="8"/>
        <v>9.9999999999997868E-3</v>
      </c>
    </row>
    <row r="601" spans="1:2">
      <c r="A601">
        <v>5.4299999999999287</v>
      </c>
      <c r="B601">
        <f t="shared" si="8"/>
        <v>9.9999999999997868E-3</v>
      </c>
    </row>
    <row r="602" spans="1:2">
      <c r="A602">
        <v>5.4399999999999284</v>
      </c>
      <c r="B602">
        <f t="shared" si="8"/>
        <v>9.9999999999997868E-3</v>
      </c>
    </row>
    <row r="603" spans="1:2">
      <c r="A603">
        <v>5.4499999999999282</v>
      </c>
      <c r="B603">
        <f t="shared" si="8"/>
        <v>9.9999999999997868E-3</v>
      </c>
    </row>
    <row r="604" spans="1:2">
      <c r="A604">
        <v>5.459999999999928</v>
      </c>
      <c r="B604">
        <f t="shared" si="8"/>
        <v>9.9999999999997868E-3</v>
      </c>
    </row>
    <row r="605" spans="1:2">
      <c r="A605">
        <v>5.4699999999999278</v>
      </c>
      <c r="B605">
        <f t="shared" si="8"/>
        <v>9.9999999999997868E-3</v>
      </c>
    </row>
    <row r="606" spans="1:2">
      <c r="A606">
        <v>5.4799999999999276</v>
      </c>
      <c r="B606">
        <f t="shared" si="8"/>
        <v>9.9999999999997868E-3</v>
      </c>
    </row>
    <row r="607" spans="1:2">
      <c r="A607">
        <v>5.4899999999999274</v>
      </c>
      <c r="B607">
        <f t="shared" si="8"/>
        <v>9.9999999999997868E-3</v>
      </c>
    </row>
    <row r="608" spans="1:2">
      <c r="A608">
        <v>5.4999999999999272</v>
      </c>
      <c r="B608">
        <f t="shared" si="8"/>
        <v>9.9999999999997868E-3</v>
      </c>
    </row>
    <row r="609" spans="1:2">
      <c r="A609">
        <v>5.509999999999927</v>
      </c>
      <c r="B609">
        <f t="shared" si="8"/>
        <v>9.9999999999997868E-3</v>
      </c>
    </row>
    <row r="610" spans="1:2">
      <c r="A610">
        <v>5.5199999999999267</v>
      </c>
      <c r="B610">
        <f t="shared" si="8"/>
        <v>9.9999999999997868E-3</v>
      </c>
    </row>
    <row r="611" spans="1:2">
      <c r="A611">
        <v>5.5299999999999265</v>
      </c>
      <c r="B611">
        <f t="shared" si="8"/>
        <v>9.9999999999997868E-3</v>
      </c>
    </row>
    <row r="612" spans="1:2">
      <c r="A612">
        <v>5.5399999999999263</v>
      </c>
      <c r="B612">
        <f t="shared" si="8"/>
        <v>9.9999999999997868E-3</v>
      </c>
    </row>
    <row r="613" spans="1:2">
      <c r="A613">
        <v>5.5499999999999261</v>
      </c>
      <c r="B613">
        <f t="shared" si="8"/>
        <v>9.9999999999997868E-3</v>
      </c>
    </row>
    <row r="614" spans="1:2">
      <c r="A614">
        <v>5.5599999999999259</v>
      </c>
      <c r="B614">
        <f t="shared" si="8"/>
        <v>9.9999999999997868E-3</v>
      </c>
    </row>
    <row r="615" spans="1:2">
      <c r="A615">
        <v>5.5699999999999257</v>
      </c>
      <c r="B615">
        <f t="shared" si="8"/>
        <v>9.9999999999997868E-3</v>
      </c>
    </row>
    <row r="616" spans="1:2">
      <c r="A616">
        <v>5.5799999999999255</v>
      </c>
      <c r="B616">
        <f t="shared" si="8"/>
        <v>9.9999999999997868E-3</v>
      </c>
    </row>
    <row r="617" spans="1:2">
      <c r="A617">
        <v>5.5899999999999253</v>
      </c>
      <c r="B617">
        <f t="shared" si="8"/>
        <v>9.9999999999997868E-3</v>
      </c>
    </row>
    <row r="618" spans="1:2">
      <c r="A618">
        <v>5.599999999999925</v>
      </c>
      <c r="B618">
        <f t="shared" ref="B618:B681" si="9">A618-A617</f>
        <v>9.9999999999997868E-3</v>
      </c>
    </row>
    <row r="619" spans="1:2">
      <c r="A619">
        <v>5.6099999999999248</v>
      </c>
      <c r="B619">
        <f t="shared" si="9"/>
        <v>9.9999999999997868E-3</v>
      </c>
    </row>
    <row r="620" spans="1:2">
      <c r="A620">
        <v>5.6199999999999246</v>
      </c>
      <c r="B620">
        <f t="shared" si="9"/>
        <v>9.9999999999997868E-3</v>
      </c>
    </row>
    <row r="621" spans="1:2">
      <c r="A621">
        <v>5.6299999999999244</v>
      </c>
      <c r="B621">
        <f t="shared" si="9"/>
        <v>9.9999999999997868E-3</v>
      </c>
    </row>
    <row r="622" spans="1:2">
      <c r="A622">
        <v>5.6399999999999242</v>
      </c>
      <c r="B622">
        <f t="shared" si="9"/>
        <v>9.9999999999997868E-3</v>
      </c>
    </row>
    <row r="623" spans="1:2">
      <c r="A623">
        <v>5.649999999999924</v>
      </c>
      <c r="B623">
        <f t="shared" si="9"/>
        <v>9.9999999999997868E-3</v>
      </c>
    </row>
    <row r="624" spans="1:2">
      <c r="A624">
        <v>5.6599999999999238</v>
      </c>
      <c r="B624">
        <f t="shared" si="9"/>
        <v>9.9999999999997868E-3</v>
      </c>
    </row>
    <row r="625" spans="1:2">
      <c r="A625">
        <v>5.6699999999999235</v>
      </c>
      <c r="B625">
        <f t="shared" si="9"/>
        <v>9.9999999999997868E-3</v>
      </c>
    </row>
    <row r="626" spans="1:2">
      <c r="A626">
        <v>5.6799999999999233</v>
      </c>
      <c r="B626">
        <f t="shared" si="9"/>
        <v>9.9999999999997868E-3</v>
      </c>
    </row>
    <row r="627" spans="1:2">
      <c r="A627">
        <v>5.6899999999999231</v>
      </c>
      <c r="B627">
        <f t="shared" si="9"/>
        <v>9.9999999999997868E-3</v>
      </c>
    </row>
    <row r="628" spans="1:2">
      <c r="A628">
        <v>5.6999999999999229</v>
      </c>
      <c r="B628">
        <f t="shared" si="9"/>
        <v>9.9999999999997868E-3</v>
      </c>
    </row>
    <row r="629" spans="1:2">
      <c r="A629">
        <v>5.7099999999999227</v>
      </c>
      <c r="B629">
        <f t="shared" si="9"/>
        <v>9.9999999999997868E-3</v>
      </c>
    </row>
    <row r="630" spans="1:2">
      <c r="A630">
        <v>5.7199999999999225</v>
      </c>
      <c r="B630">
        <f t="shared" si="9"/>
        <v>9.9999999999997868E-3</v>
      </c>
    </row>
    <row r="631" spans="1:2">
      <c r="A631">
        <v>5.7299999999999223</v>
      </c>
      <c r="B631">
        <f t="shared" si="9"/>
        <v>9.9999999999997868E-3</v>
      </c>
    </row>
    <row r="632" spans="1:2">
      <c r="A632">
        <v>5.7399999999999221</v>
      </c>
      <c r="B632">
        <f t="shared" si="9"/>
        <v>9.9999999999997868E-3</v>
      </c>
    </row>
    <row r="633" spans="1:2">
      <c r="A633">
        <v>5.7499999999999218</v>
      </c>
      <c r="B633">
        <f t="shared" si="9"/>
        <v>9.9999999999997868E-3</v>
      </c>
    </row>
    <row r="634" spans="1:2">
      <c r="A634">
        <v>5.7599999999999216</v>
      </c>
      <c r="B634">
        <f t="shared" si="9"/>
        <v>9.9999999999997868E-3</v>
      </c>
    </row>
    <row r="635" spans="1:2">
      <c r="A635">
        <v>5.7699999999999214</v>
      </c>
      <c r="B635">
        <f t="shared" si="9"/>
        <v>9.9999999999997868E-3</v>
      </c>
    </row>
    <row r="636" spans="1:2">
      <c r="A636">
        <v>5.7799999999999212</v>
      </c>
      <c r="B636">
        <f t="shared" si="9"/>
        <v>9.9999999999997868E-3</v>
      </c>
    </row>
    <row r="637" spans="1:2">
      <c r="A637">
        <v>5.789999999999921</v>
      </c>
      <c r="B637">
        <f t="shared" si="9"/>
        <v>9.9999999999997868E-3</v>
      </c>
    </row>
    <row r="638" spans="1:2">
      <c r="A638">
        <v>5.7999999999999208</v>
      </c>
      <c r="B638">
        <f t="shared" si="9"/>
        <v>9.9999999999997868E-3</v>
      </c>
    </row>
    <row r="639" spans="1:2">
      <c r="A639">
        <v>5.8099999999999206</v>
      </c>
      <c r="B639">
        <f t="shared" si="9"/>
        <v>9.9999999999997868E-3</v>
      </c>
    </row>
    <row r="640" spans="1:2">
      <c r="A640">
        <v>5.8199999999999203</v>
      </c>
      <c r="B640">
        <f t="shared" si="9"/>
        <v>9.9999999999997868E-3</v>
      </c>
    </row>
    <row r="641" spans="1:2">
      <c r="A641">
        <v>5.8299999999999201</v>
      </c>
      <c r="B641">
        <f t="shared" si="9"/>
        <v>9.9999999999997868E-3</v>
      </c>
    </row>
    <row r="642" spans="1:2">
      <c r="A642">
        <v>5.8399999999999199</v>
      </c>
      <c r="B642">
        <f t="shared" si="9"/>
        <v>9.9999999999997868E-3</v>
      </c>
    </row>
    <row r="643" spans="1:2">
      <c r="A643">
        <v>5.8499999999999197</v>
      </c>
      <c r="B643">
        <f t="shared" si="9"/>
        <v>9.9999999999997868E-3</v>
      </c>
    </row>
    <row r="644" spans="1:2">
      <c r="A644">
        <v>5.8599999999999195</v>
      </c>
      <c r="B644">
        <f t="shared" si="9"/>
        <v>9.9999999999997868E-3</v>
      </c>
    </row>
    <row r="645" spans="1:2">
      <c r="A645">
        <v>5.8699999999999193</v>
      </c>
      <c r="B645">
        <f t="shared" si="9"/>
        <v>9.9999999999997868E-3</v>
      </c>
    </row>
    <row r="646" spans="1:2">
      <c r="A646">
        <v>5.8799999999999191</v>
      </c>
      <c r="B646">
        <f t="shared" si="9"/>
        <v>9.9999999999997868E-3</v>
      </c>
    </row>
    <row r="647" spans="1:2">
      <c r="A647">
        <v>5.8899999999999189</v>
      </c>
      <c r="B647">
        <f t="shared" si="9"/>
        <v>9.9999999999997868E-3</v>
      </c>
    </row>
    <row r="648" spans="1:2">
      <c r="A648">
        <v>5.8999999999999186</v>
      </c>
      <c r="B648">
        <f t="shared" si="9"/>
        <v>9.9999999999997868E-3</v>
      </c>
    </row>
    <row r="649" spans="1:2">
      <c r="A649">
        <v>5.9099999999999184</v>
      </c>
      <c r="B649">
        <f t="shared" si="9"/>
        <v>9.9999999999997868E-3</v>
      </c>
    </row>
    <row r="650" spans="1:2">
      <c r="A650">
        <v>5.9199999999999182</v>
      </c>
      <c r="B650">
        <f t="shared" si="9"/>
        <v>9.9999999999997868E-3</v>
      </c>
    </row>
    <row r="651" spans="1:2">
      <c r="A651">
        <v>5.929999999999918</v>
      </c>
      <c r="B651">
        <f t="shared" si="9"/>
        <v>9.9999999999997868E-3</v>
      </c>
    </row>
    <row r="652" spans="1:2">
      <c r="A652">
        <v>5.9399999999999178</v>
      </c>
      <c r="B652">
        <f t="shared" si="9"/>
        <v>9.9999999999997868E-3</v>
      </c>
    </row>
    <row r="653" spans="1:2">
      <c r="A653">
        <v>5.9499999999999176</v>
      </c>
      <c r="B653">
        <f t="shared" si="9"/>
        <v>9.9999999999997868E-3</v>
      </c>
    </row>
    <row r="654" spans="1:2">
      <c r="A654">
        <v>5.9599999999999174</v>
      </c>
      <c r="B654">
        <f t="shared" si="9"/>
        <v>9.9999999999997868E-3</v>
      </c>
    </row>
    <row r="655" spans="1:2">
      <c r="A655">
        <v>5.9699999999999172</v>
      </c>
      <c r="B655">
        <f t="shared" si="9"/>
        <v>9.9999999999997868E-3</v>
      </c>
    </row>
    <row r="656" spans="1:2">
      <c r="A656">
        <v>5.9799999999999169</v>
      </c>
      <c r="B656">
        <f t="shared" si="9"/>
        <v>9.9999999999997868E-3</v>
      </c>
    </row>
    <row r="657" spans="1:2">
      <c r="A657">
        <v>5.9899999999999167</v>
      </c>
      <c r="B657">
        <f t="shared" si="9"/>
        <v>9.9999999999997868E-3</v>
      </c>
    </row>
    <row r="658" spans="1:2">
      <c r="A658">
        <v>5.9999999999999165</v>
      </c>
      <c r="B658">
        <f t="shared" si="9"/>
        <v>9.9999999999997868E-3</v>
      </c>
    </row>
    <row r="659" spans="1:2">
      <c r="A659">
        <v>6.0099999999999163</v>
      </c>
      <c r="B659">
        <f t="shared" si="9"/>
        <v>9.9999999999997868E-3</v>
      </c>
    </row>
    <row r="660" spans="1:2">
      <c r="A660">
        <v>6.0199999999999161</v>
      </c>
      <c r="B660">
        <f t="shared" si="9"/>
        <v>9.9999999999997868E-3</v>
      </c>
    </row>
    <row r="661" spans="1:2">
      <c r="A661">
        <v>6.0299999999999159</v>
      </c>
      <c r="B661">
        <f t="shared" si="9"/>
        <v>9.9999999999997868E-3</v>
      </c>
    </row>
    <row r="662" spans="1:2">
      <c r="A662">
        <v>6.0399999999999157</v>
      </c>
      <c r="B662">
        <f t="shared" si="9"/>
        <v>9.9999999999997868E-3</v>
      </c>
    </row>
    <row r="663" spans="1:2">
      <c r="A663">
        <v>6.0499999999999154</v>
      </c>
      <c r="B663">
        <f t="shared" si="9"/>
        <v>9.9999999999997868E-3</v>
      </c>
    </row>
    <row r="664" spans="1:2">
      <c r="A664">
        <v>6.0599999999999152</v>
      </c>
      <c r="B664">
        <f t="shared" si="9"/>
        <v>9.9999999999997868E-3</v>
      </c>
    </row>
    <row r="665" spans="1:2">
      <c r="A665">
        <v>6.069999999999915</v>
      </c>
      <c r="B665">
        <f t="shared" si="9"/>
        <v>9.9999999999997868E-3</v>
      </c>
    </row>
    <row r="666" spans="1:2">
      <c r="A666">
        <v>6.0799999999999148</v>
      </c>
      <c r="B666">
        <f t="shared" si="9"/>
        <v>9.9999999999997868E-3</v>
      </c>
    </row>
    <row r="667" spans="1:2">
      <c r="A667">
        <v>6.0899999999999146</v>
      </c>
      <c r="B667">
        <f t="shared" si="9"/>
        <v>9.9999999999997868E-3</v>
      </c>
    </row>
    <row r="668" spans="1:2">
      <c r="A668">
        <v>6.0999999999999144</v>
      </c>
      <c r="B668">
        <f t="shared" si="9"/>
        <v>9.9999999999997868E-3</v>
      </c>
    </row>
    <row r="669" spans="1:2">
      <c r="A669">
        <v>6.1099999999999142</v>
      </c>
      <c r="B669">
        <f t="shared" si="9"/>
        <v>9.9999999999997868E-3</v>
      </c>
    </row>
    <row r="670" spans="1:2">
      <c r="A670">
        <v>6.119999999999914</v>
      </c>
      <c r="B670">
        <f t="shared" si="9"/>
        <v>9.9999999999997868E-3</v>
      </c>
    </row>
    <row r="671" spans="1:2">
      <c r="A671">
        <v>6.1299999999999137</v>
      </c>
      <c r="B671">
        <f t="shared" si="9"/>
        <v>9.9999999999997868E-3</v>
      </c>
    </row>
    <row r="672" spans="1:2">
      <c r="A672">
        <v>6.1399999999999135</v>
      </c>
      <c r="B672">
        <f t="shared" si="9"/>
        <v>9.9999999999997868E-3</v>
      </c>
    </row>
    <row r="673" spans="1:2">
      <c r="A673">
        <v>6.1499999999999133</v>
      </c>
      <c r="B673">
        <f t="shared" si="9"/>
        <v>9.9999999999997868E-3</v>
      </c>
    </row>
    <row r="674" spans="1:2">
      <c r="A674">
        <v>6.1599999999999131</v>
      </c>
      <c r="B674">
        <f t="shared" si="9"/>
        <v>9.9999999999997868E-3</v>
      </c>
    </row>
    <row r="675" spans="1:2">
      <c r="A675">
        <v>6.1699999999999129</v>
      </c>
      <c r="B675">
        <f t="shared" si="9"/>
        <v>9.9999999999997868E-3</v>
      </c>
    </row>
    <row r="676" spans="1:2">
      <c r="A676">
        <v>6.1799999999999127</v>
      </c>
      <c r="B676">
        <f t="shared" si="9"/>
        <v>9.9999999999997868E-3</v>
      </c>
    </row>
    <row r="677" spans="1:2">
      <c r="A677">
        <v>6.1899999999999125</v>
      </c>
      <c r="B677">
        <f t="shared" si="9"/>
        <v>9.9999999999997868E-3</v>
      </c>
    </row>
    <row r="678" spans="1:2">
      <c r="A678">
        <v>6.1999999999999122</v>
      </c>
      <c r="B678">
        <f t="shared" si="9"/>
        <v>9.9999999999997868E-3</v>
      </c>
    </row>
    <row r="679" spans="1:2">
      <c r="A679">
        <v>6.209999999999912</v>
      </c>
      <c r="B679">
        <f t="shared" si="9"/>
        <v>9.9999999999997868E-3</v>
      </c>
    </row>
    <row r="680" spans="1:2">
      <c r="A680">
        <v>6.2199999999999118</v>
      </c>
      <c r="B680">
        <f t="shared" si="9"/>
        <v>9.9999999999997868E-3</v>
      </c>
    </row>
    <row r="681" spans="1:2">
      <c r="A681">
        <v>6.2299999999999116</v>
      </c>
      <c r="B681">
        <f t="shared" si="9"/>
        <v>9.9999999999997868E-3</v>
      </c>
    </row>
    <row r="682" spans="1:2">
      <c r="A682">
        <v>6.2399999999999114</v>
      </c>
      <c r="B682">
        <f t="shared" ref="B682:B745" si="10">A682-A681</f>
        <v>9.9999999999997868E-3</v>
      </c>
    </row>
    <row r="683" spans="1:2">
      <c r="A683">
        <v>6.2499999999999112</v>
      </c>
      <c r="B683">
        <f t="shared" si="10"/>
        <v>9.9999999999997868E-3</v>
      </c>
    </row>
    <row r="684" spans="1:2">
      <c r="A684">
        <v>6.259999999999911</v>
      </c>
      <c r="B684">
        <f t="shared" si="10"/>
        <v>9.9999999999997868E-3</v>
      </c>
    </row>
    <row r="685" spans="1:2">
      <c r="A685">
        <v>6.2699999999999108</v>
      </c>
      <c r="B685">
        <f t="shared" si="10"/>
        <v>9.9999999999997868E-3</v>
      </c>
    </row>
    <row r="686" spans="1:2">
      <c r="A686">
        <v>6.2799999999999105</v>
      </c>
      <c r="B686">
        <f t="shared" si="10"/>
        <v>9.9999999999997868E-3</v>
      </c>
    </row>
    <row r="687" spans="1:2">
      <c r="A687">
        <v>6.2899999999999103</v>
      </c>
      <c r="B687">
        <f t="shared" si="10"/>
        <v>9.9999999999997868E-3</v>
      </c>
    </row>
    <row r="688" spans="1:2">
      <c r="A688">
        <v>6.2999999999999101</v>
      </c>
      <c r="B688">
        <f t="shared" si="10"/>
        <v>9.9999999999997868E-3</v>
      </c>
    </row>
    <row r="689" spans="1:2">
      <c r="A689">
        <v>6.3099999999999099</v>
      </c>
      <c r="B689">
        <f t="shared" si="10"/>
        <v>9.9999999999997868E-3</v>
      </c>
    </row>
    <row r="690" spans="1:2">
      <c r="A690">
        <v>6.3199999999999097</v>
      </c>
      <c r="B690">
        <f t="shared" si="10"/>
        <v>9.9999999999997868E-3</v>
      </c>
    </row>
    <row r="691" spans="1:2">
      <c r="A691">
        <v>6.3299999999999095</v>
      </c>
      <c r="B691">
        <f t="shared" si="10"/>
        <v>9.9999999999997868E-3</v>
      </c>
    </row>
    <row r="692" spans="1:2">
      <c r="A692">
        <v>6.3399999999999093</v>
      </c>
      <c r="B692">
        <f t="shared" si="10"/>
        <v>9.9999999999997868E-3</v>
      </c>
    </row>
    <row r="693" spans="1:2">
      <c r="A693">
        <v>6.3499999999999091</v>
      </c>
      <c r="B693">
        <f t="shared" si="10"/>
        <v>9.9999999999997868E-3</v>
      </c>
    </row>
    <row r="694" spans="1:2">
      <c r="A694">
        <v>6.3599999999999088</v>
      </c>
      <c r="B694">
        <f t="shared" si="10"/>
        <v>9.9999999999997868E-3</v>
      </c>
    </row>
    <row r="695" spans="1:2">
      <c r="A695">
        <v>6.3699999999999086</v>
      </c>
      <c r="B695">
        <f t="shared" si="10"/>
        <v>9.9999999999997868E-3</v>
      </c>
    </row>
    <row r="696" spans="1:2">
      <c r="A696">
        <v>6.3799999999999084</v>
      </c>
      <c r="B696">
        <f t="shared" si="10"/>
        <v>9.9999999999997868E-3</v>
      </c>
    </row>
    <row r="697" spans="1:2">
      <c r="A697">
        <v>6.3899999999999082</v>
      </c>
      <c r="B697">
        <f t="shared" si="10"/>
        <v>9.9999999999997868E-3</v>
      </c>
    </row>
    <row r="698" spans="1:2">
      <c r="A698">
        <v>6.399999999999908</v>
      </c>
      <c r="B698">
        <f t="shared" si="10"/>
        <v>9.9999999999997868E-3</v>
      </c>
    </row>
    <row r="699" spans="1:2">
      <c r="A699">
        <v>6.4099999999999078</v>
      </c>
      <c r="B699">
        <f t="shared" si="10"/>
        <v>9.9999999999997868E-3</v>
      </c>
    </row>
    <row r="700" spans="1:2">
      <c r="A700">
        <v>6.4199999999999076</v>
      </c>
      <c r="B700">
        <f t="shared" si="10"/>
        <v>9.9999999999997868E-3</v>
      </c>
    </row>
    <row r="701" spans="1:2">
      <c r="A701">
        <v>6.4299999999999073</v>
      </c>
      <c r="B701">
        <f t="shared" si="10"/>
        <v>9.9999999999997868E-3</v>
      </c>
    </row>
    <row r="702" spans="1:2">
      <c r="A702">
        <v>6.4399999999999071</v>
      </c>
      <c r="B702">
        <f t="shared" si="10"/>
        <v>9.9999999999997868E-3</v>
      </c>
    </row>
    <row r="703" spans="1:2">
      <c r="A703">
        <v>6.4499999999999069</v>
      </c>
      <c r="B703">
        <f t="shared" si="10"/>
        <v>9.9999999999997868E-3</v>
      </c>
    </row>
    <row r="704" spans="1:2">
      <c r="A704">
        <v>6.4599999999999067</v>
      </c>
      <c r="B704">
        <f t="shared" si="10"/>
        <v>9.9999999999997868E-3</v>
      </c>
    </row>
    <row r="705" spans="1:2">
      <c r="A705">
        <v>6.4699999999999065</v>
      </c>
      <c r="B705">
        <f t="shared" si="10"/>
        <v>9.9999999999997868E-3</v>
      </c>
    </row>
    <row r="706" spans="1:2">
      <c r="A706">
        <v>6.4799999999999063</v>
      </c>
      <c r="B706">
        <f t="shared" si="10"/>
        <v>9.9999999999997868E-3</v>
      </c>
    </row>
    <row r="707" spans="1:2">
      <c r="A707">
        <v>6.4899999999999061</v>
      </c>
      <c r="B707">
        <f t="shared" si="10"/>
        <v>9.9999999999997868E-3</v>
      </c>
    </row>
    <row r="708" spans="1:2">
      <c r="A708">
        <v>6.4999999999999059</v>
      </c>
      <c r="B708">
        <f t="shared" si="10"/>
        <v>9.9999999999997868E-3</v>
      </c>
    </row>
    <row r="709" spans="1:2">
      <c r="A709">
        <v>6.5099999999999056</v>
      </c>
      <c r="B709">
        <f t="shared" si="10"/>
        <v>9.9999999999997868E-3</v>
      </c>
    </row>
    <row r="710" spans="1:2">
      <c r="A710">
        <v>6.5199999999999054</v>
      </c>
      <c r="B710">
        <f t="shared" si="10"/>
        <v>9.9999999999997868E-3</v>
      </c>
    </row>
    <row r="711" spans="1:2">
      <c r="A711">
        <v>6.5299999999999052</v>
      </c>
      <c r="B711">
        <f t="shared" si="10"/>
        <v>9.9999999999997868E-3</v>
      </c>
    </row>
    <row r="712" spans="1:2">
      <c r="A712">
        <v>6.539999999999905</v>
      </c>
      <c r="B712">
        <f t="shared" si="10"/>
        <v>9.9999999999997868E-3</v>
      </c>
    </row>
    <row r="713" spans="1:2">
      <c r="A713">
        <v>6.5499999999999048</v>
      </c>
      <c r="B713">
        <f t="shared" si="10"/>
        <v>9.9999999999997868E-3</v>
      </c>
    </row>
    <row r="714" spans="1:2">
      <c r="A714">
        <v>6.5599999999999046</v>
      </c>
      <c r="B714">
        <f t="shared" si="10"/>
        <v>9.9999999999997868E-3</v>
      </c>
    </row>
    <row r="715" spans="1:2">
      <c r="A715">
        <v>6.5699999999999044</v>
      </c>
      <c r="B715">
        <f t="shared" si="10"/>
        <v>9.9999999999997868E-3</v>
      </c>
    </row>
    <row r="716" spans="1:2">
      <c r="A716">
        <v>6.5799999999999041</v>
      </c>
      <c r="B716">
        <f t="shared" si="10"/>
        <v>9.9999999999997868E-3</v>
      </c>
    </row>
    <row r="717" spans="1:2">
      <c r="A717">
        <v>6.5899999999999039</v>
      </c>
      <c r="B717">
        <f t="shared" si="10"/>
        <v>9.9999999999997868E-3</v>
      </c>
    </row>
    <row r="718" spans="1:2">
      <c r="A718">
        <v>6.5999999999999037</v>
      </c>
      <c r="B718">
        <f t="shared" si="10"/>
        <v>9.9999999999997868E-3</v>
      </c>
    </row>
    <row r="719" spans="1:2">
      <c r="A719">
        <v>6.6099999999999035</v>
      </c>
      <c r="B719">
        <f t="shared" si="10"/>
        <v>9.9999999999997868E-3</v>
      </c>
    </row>
    <row r="720" spans="1:2">
      <c r="A720">
        <v>6.6199999999999033</v>
      </c>
      <c r="B720">
        <f t="shared" si="10"/>
        <v>9.9999999999997868E-3</v>
      </c>
    </row>
    <row r="721" spans="1:2">
      <c r="A721">
        <v>6.6299999999999031</v>
      </c>
      <c r="B721">
        <f t="shared" si="10"/>
        <v>9.9999999999997868E-3</v>
      </c>
    </row>
    <row r="722" spans="1:2">
      <c r="A722">
        <v>6.6399999999999029</v>
      </c>
      <c r="B722">
        <f t="shared" si="10"/>
        <v>9.9999999999997868E-3</v>
      </c>
    </row>
    <row r="723" spans="1:2">
      <c r="A723">
        <v>6.6499999999999027</v>
      </c>
      <c r="B723">
        <f t="shared" si="10"/>
        <v>9.9999999999997868E-3</v>
      </c>
    </row>
    <row r="724" spans="1:2">
      <c r="A724">
        <v>6.6599999999999024</v>
      </c>
      <c r="B724">
        <f t="shared" si="10"/>
        <v>9.9999999999997868E-3</v>
      </c>
    </row>
    <row r="725" spans="1:2">
      <c r="A725">
        <v>6.6699999999999022</v>
      </c>
      <c r="B725">
        <f t="shared" si="10"/>
        <v>9.9999999999997868E-3</v>
      </c>
    </row>
    <row r="726" spans="1:2">
      <c r="A726">
        <v>6.679999999999902</v>
      </c>
      <c r="B726">
        <f t="shared" si="10"/>
        <v>9.9999999999997868E-3</v>
      </c>
    </row>
    <row r="727" spans="1:2">
      <c r="A727">
        <v>6.6899999999999018</v>
      </c>
      <c r="B727">
        <f t="shared" si="10"/>
        <v>9.9999999999997868E-3</v>
      </c>
    </row>
    <row r="728" spans="1:2">
      <c r="A728">
        <v>6.6999999999999016</v>
      </c>
      <c r="B728">
        <f t="shared" si="10"/>
        <v>9.9999999999997868E-3</v>
      </c>
    </row>
    <row r="729" spans="1:2">
      <c r="A729">
        <v>6.7099999999999014</v>
      </c>
      <c r="B729">
        <f t="shared" si="10"/>
        <v>9.9999999999997868E-3</v>
      </c>
    </row>
    <row r="730" spans="1:2">
      <c r="A730">
        <v>6.7199999999999012</v>
      </c>
      <c r="B730">
        <f t="shared" si="10"/>
        <v>9.9999999999997868E-3</v>
      </c>
    </row>
    <row r="731" spans="1:2">
      <c r="A731">
        <v>6.729999999999901</v>
      </c>
      <c r="B731">
        <f t="shared" si="10"/>
        <v>9.9999999999997868E-3</v>
      </c>
    </row>
    <row r="732" spans="1:2">
      <c r="A732">
        <v>6.7399999999999007</v>
      </c>
      <c r="B732">
        <f t="shared" si="10"/>
        <v>9.9999999999997868E-3</v>
      </c>
    </row>
    <row r="733" spans="1:2">
      <c r="A733">
        <v>6.7499999999999005</v>
      </c>
      <c r="B733">
        <f t="shared" si="10"/>
        <v>9.9999999999997868E-3</v>
      </c>
    </row>
    <row r="734" spans="1:2">
      <c r="A734">
        <v>6.7599999999999003</v>
      </c>
      <c r="B734">
        <f t="shared" si="10"/>
        <v>9.9999999999997868E-3</v>
      </c>
    </row>
    <row r="735" spans="1:2">
      <c r="A735">
        <v>6.7699999999999001</v>
      </c>
      <c r="B735">
        <f t="shared" si="10"/>
        <v>9.9999999999997868E-3</v>
      </c>
    </row>
    <row r="736" spans="1:2">
      <c r="A736">
        <v>6.7799999999998999</v>
      </c>
      <c r="B736">
        <f t="shared" si="10"/>
        <v>9.9999999999997868E-3</v>
      </c>
    </row>
    <row r="737" spans="1:2">
      <c r="A737">
        <v>6.7899999999998997</v>
      </c>
      <c r="B737">
        <f t="shared" si="10"/>
        <v>9.9999999999997868E-3</v>
      </c>
    </row>
    <row r="738" spans="1:2">
      <c r="A738">
        <v>6.7999999999998995</v>
      </c>
      <c r="B738">
        <f t="shared" si="10"/>
        <v>9.9999999999997868E-3</v>
      </c>
    </row>
    <row r="739" spans="1:2">
      <c r="A739">
        <v>6.8099999999998992</v>
      </c>
      <c r="B739">
        <f t="shared" si="10"/>
        <v>9.9999999999997868E-3</v>
      </c>
    </row>
    <row r="740" spans="1:2">
      <c r="A740">
        <v>6.819999999999899</v>
      </c>
      <c r="B740">
        <f t="shared" si="10"/>
        <v>9.9999999999997868E-3</v>
      </c>
    </row>
    <row r="741" spans="1:2">
      <c r="A741">
        <v>6.8299999999998988</v>
      </c>
      <c r="B741">
        <f t="shared" si="10"/>
        <v>9.9999999999997868E-3</v>
      </c>
    </row>
    <row r="742" spans="1:2">
      <c r="A742">
        <v>6.8399999999998986</v>
      </c>
      <c r="B742">
        <f t="shared" si="10"/>
        <v>9.9999999999997868E-3</v>
      </c>
    </row>
    <row r="743" spans="1:2">
      <c r="A743">
        <v>6.8499999999998984</v>
      </c>
      <c r="B743">
        <f t="shared" si="10"/>
        <v>9.9999999999997868E-3</v>
      </c>
    </row>
    <row r="744" spans="1:2">
      <c r="A744">
        <v>6.8599999999998982</v>
      </c>
      <c r="B744">
        <f t="shared" si="10"/>
        <v>9.9999999999997868E-3</v>
      </c>
    </row>
    <row r="745" spans="1:2">
      <c r="A745">
        <v>6.869999999999898</v>
      </c>
      <c r="B745">
        <f t="shared" si="10"/>
        <v>9.9999999999997868E-3</v>
      </c>
    </row>
    <row r="746" spans="1:2">
      <c r="A746">
        <v>6.8799999999998978</v>
      </c>
      <c r="B746">
        <f t="shared" ref="B746:B809" si="11">A746-A745</f>
        <v>9.9999999999997868E-3</v>
      </c>
    </row>
    <row r="747" spans="1:2">
      <c r="A747">
        <v>6.8899999999998975</v>
      </c>
      <c r="B747">
        <f t="shared" si="11"/>
        <v>9.9999999999997868E-3</v>
      </c>
    </row>
    <row r="748" spans="1:2">
      <c r="A748">
        <v>6.8999999999998973</v>
      </c>
      <c r="B748">
        <f t="shared" si="11"/>
        <v>9.9999999999997868E-3</v>
      </c>
    </row>
    <row r="749" spans="1:2">
      <c r="A749">
        <v>6.9099999999998971</v>
      </c>
      <c r="B749">
        <f t="shared" si="11"/>
        <v>9.9999999999997868E-3</v>
      </c>
    </row>
    <row r="750" spans="1:2">
      <c r="A750">
        <v>6.9199999999998969</v>
      </c>
      <c r="B750">
        <f t="shared" si="11"/>
        <v>9.9999999999997868E-3</v>
      </c>
    </row>
    <row r="751" spans="1:2">
      <c r="A751">
        <v>6.9299999999998967</v>
      </c>
      <c r="B751">
        <f t="shared" si="11"/>
        <v>9.9999999999997868E-3</v>
      </c>
    </row>
    <row r="752" spans="1:2">
      <c r="A752">
        <v>6.9399999999998965</v>
      </c>
      <c r="B752">
        <f t="shared" si="11"/>
        <v>9.9999999999997868E-3</v>
      </c>
    </row>
    <row r="753" spans="1:2">
      <c r="A753">
        <v>6.9499999999998963</v>
      </c>
      <c r="B753">
        <f t="shared" si="11"/>
        <v>9.9999999999997868E-3</v>
      </c>
    </row>
    <row r="754" spans="1:2">
      <c r="A754">
        <v>6.959999999999896</v>
      </c>
      <c r="B754">
        <f t="shared" si="11"/>
        <v>9.9999999999997868E-3</v>
      </c>
    </row>
    <row r="755" spans="1:2">
      <c r="A755">
        <v>6.9699999999998958</v>
      </c>
      <c r="B755">
        <f t="shared" si="11"/>
        <v>9.9999999999997868E-3</v>
      </c>
    </row>
    <row r="756" spans="1:2">
      <c r="A756">
        <v>6.9799999999998956</v>
      </c>
      <c r="B756">
        <f t="shared" si="11"/>
        <v>9.9999999999997868E-3</v>
      </c>
    </row>
    <row r="757" spans="1:2">
      <c r="A757">
        <v>6.9899999999998954</v>
      </c>
      <c r="B757">
        <f t="shared" si="11"/>
        <v>9.9999999999997868E-3</v>
      </c>
    </row>
    <row r="758" spans="1:2">
      <c r="A758">
        <v>6.9999999999998952</v>
      </c>
      <c r="B758">
        <f t="shared" si="11"/>
        <v>9.9999999999997868E-3</v>
      </c>
    </row>
    <row r="759" spans="1:2">
      <c r="A759">
        <v>7.009999999999895</v>
      </c>
      <c r="B759">
        <f t="shared" si="11"/>
        <v>9.9999999999997868E-3</v>
      </c>
    </row>
    <row r="760" spans="1:2">
      <c r="A760">
        <v>7.0199999999998948</v>
      </c>
      <c r="B760">
        <f t="shared" si="11"/>
        <v>9.9999999999997868E-3</v>
      </c>
    </row>
    <row r="761" spans="1:2">
      <c r="A761">
        <v>7.0299999999998946</v>
      </c>
      <c r="B761">
        <f t="shared" si="11"/>
        <v>9.9999999999997868E-3</v>
      </c>
    </row>
    <row r="762" spans="1:2">
      <c r="A762">
        <v>7.0399999999998943</v>
      </c>
      <c r="B762">
        <f t="shared" si="11"/>
        <v>9.9999999999997868E-3</v>
      </c>
    </row>
    <row r="763" spans="1:2">
      <c r="A763">
        <v>7.0499999999998941</v>
      </c>
      <c r="B763">
        <f t="shared" si="11"/>
        <v>9.9999999999997868E-3</v>
      </c>
    </row>
    <row r="764" spans="1:2">
      <c r="A764">
        <v>7.0599999999998939</v>
      </c>
      <c r="B764">
        <f t="shared" si="11"/>
        <v>9.9999999999997868E-3</v>
      </c>
    </row>
    <row r="765" spans="1:2">
      <c r="A765">
        <v>7.0699999999998937</v>
      </c>
      <c r="B765">
        <f t="shared" si="11"/>
        <v>9.9999999999997868E-3</v>
      </c>
    </row>
    <row r="766" spans="1:2">
      <c r="A766">
        <v>7.0799999999998935</v>
      </c>
      <c r="B766">
        <f t="shared" si="11"/>
        <v>9.9999999999997868E-3</v>
      </c>
    </row>
    <row r="767" spans="1:2">
      <c r="A767">
        <v>7.0899999999998933</v>
      </c>
      <c r="B767">
        <f t="shared" si="11"/>
        <v>9.9999999999997868E-3</v>
      </c>
    </row>
    <row r="768" spans="1:2">
      <c r="A768">
        <v>7.0999999999998931</v>
      </c>
      <c r="B768">
        <f t="shared" si="11"/>
        <v>9.9999999999997868E-3</v>
      </c>
    </row>
    <row r="769" spans="1:2">
      <c r="A769">
        <v>7.1099999999998929</v>
      </c>
      <c r="B769">
        <f t="shared" si="11"/>
        <v>9.9999999999997868E-3</v>
      </c>
    </row>
    <row r="770" spans="1:2">
      <c r="A770">
        <v>7.1199999999998926</v>
      </c>
      <c r="B770">
        <f t="shared" si="11"/>
        <v>9.9999999999997868E-3</v>
      </c>
    </row>
    <row r="771" spans="1:2">
      <c r="A771">
        <v>7.1299999999998924</v>
      </c>
      <c r="B771">
        <f t="shared" si="11"/>
        <v>9.9999999999997868E-3</v>
      </c>
    </row>
    <row r="772" spans="1:2">
      <c r="A772">
        <v>7.1399999999998922</v>
      </c>
      <c r="B772">
        <f t="shared" si="11"/>
        <v>9.9999999999997868E-3</v>
      </c>
    </row>
    <row r="773" spans="1:2">
      <c r="A773">
        <v>7.149999999999892</v>
      </c>
      <c r="B773">
        <f t="shared" si="11"/>
        <v>9.9999999999997868E-3</v>
      </c>
    </row>
    <row r="774" spans="1:2">
      <c r="A774">
        <v>7.1599999999998918</v>
      </c>
      <c r="B774">
        <f t="shared" si="11"/>
        <v>9.9999999999997868E-3</v>
      </c>
    </row>
    <row r="775" spans="1:2">
      <c r="A775">
        <v>7.1699999999998916</v>
      </c>
      <c r="B775">
        <f t="shared" si="11"/>
        <v>9.9999999999997868E-3</v>
      </c>
    </row>
    <row r="776" spans="1:2">
      <c r="A776">
        <v>7.1799999999998914</v>
      </c>
      <c r="B776">
        <f t="shared" si="11"/>
        <v>9.9999999999997868E-3</v>
      </c>
    </row>
    <row r="777" spans="1:2">
      <c r="A777">
        <v>7.1899999999998911</v>
      </c>
      <c r="B777">
        <f t="shared" si="11"/>
        <v>9.9999999999997868E-3</v>
      </c>
    </row>
    <row r="778" spans="1:2">
      <c r="A778">
        <v>7.1999999999998909</v>
      </c>
      <c r="B778">
        <f t="shared" si="11"/>
        <v>9.9999999999997868E-3</v>
      </c>
    </row>
    <row r="779" spans="1:2">
      <c r="A779">
        <v>7.2099999999998907</v>
      </c>
      <c r="B779">
        <f t="shared" si="11"/>
        <v>9.9999999999997868E-3</v>
      </c>
    </row>
    <row r="780" spans="1:2">
      <c r="A780">
        <v>7.2199999999998905</v>
      </c>
      <c r="B780">
        <f t="shared" si="11"/>
        <v>9.9999999999997868E-3</v>
      </c>
    </row>
    <row r="781" spans="1:2">
      <c r="A781">
        <v>7.2299999999998903</v>
      </c>
      <c r="B781">
        <f t="shared" si="11"/>
        <v>9.9999999999997868E-3</v>
      </c>
    </row>
    <row r="782" spans="1:2">
      <c r="A782">
        <v>7.2399999999998901</v>
      </c>
      <c r="B782">
        <f t="shared" si="11"/>
        <v>9.9999999999997868E-3</v>
      </c>
    </row>
    <row r="783" spans="1:2">
      <c r="A783">
        <v>7.2499999999998899</v>
      </c>
      <c r="B783">
        <f t="shared" si="11"/>
        <v>9.9999999999997868E-3</v>
      </c>
    </row>
    <row r="784" spans="1:2">
      <c r="A784">
        <v>7.2599999999998897</v>
      </c>
      <c r="B784">
        <f t="shared" si="11"/>
        <v>9.9999999999997868E-3</v>
      </c>
    </row>
    <row r="785" spans="1:2">
      <c r="A785">
        <v>7.2699999999998894</v>
      </c>
      <c r="B785">
        <f t="shared" si="11"/>
        <v>9.9999999999997868E-3</v>
      </c>
    </row>
    <row r="786" spans="1:2">
      <c r="A786">
        <v>7.2799999999998892</v>
      </c>
      <c r="B786">
        <f t="shared" si="11"/>
        <v>9.9999999999997868E-3</v>
      </c>
    </row>
    <row r="787" spans="1:2">
      <c r="A787">
        <v>7.289999999999889</v>
      </c>
      <c r="B787">
        <f t="shared" si="11"/>
        <v>9.9999999999997868E-3</v>
      </c>
    </row>
    <row r="788" spans="1:2">
      <c r="A788">
        <v>7.2999999999998888</v>
      </c>
      <c r="B788">
        <f t="shared" si="11"/>
        <v>9.9999999999997868E-3</v>
      </c>
    </row>
    <row r="789" spans="1:2">
      <c r="A789">
        <v>7.3099999999998886</v>
      </c>
      <c r="B789">
        <f t="shared" si="11"/>
        <v>9.9999999999997868E-3</v>
      </c>
    </row>
    <row r="790" spans="1:2">
      <c r="A790">
        <v>7.3199999999998884</v>
      </c>
      <c r="B790">
        <f t="shared" si="11"/>
        <v>9.9999999999997868E-3</v>
      </c>
    </row>
    <row r="791" spans="1:2">
      <c r="A791">
        <v>7.3299999999998882</v>
      </c>
      <c r="B791">
        <f t="shared" si="11"/>
        <v>9.9999999999997868E-3</v>
      </c>
    </row>
    <row r="792" spans="1:2">
      <c r="A792">
        <v>7.3399999999998879</v>
      </c>
      <c r="B792">
        <f t="shared" si="11"/>
        <v>9.9999999999997868E-3</v>
      </c>
    </row>
    <row r="793" spans="1:2">
      <c r="A793">
        <v>7.3499999999998877</v>
      </c>
      <c r="B793">
        <f t="shared" si="11"/>
        <v>9.9999999999997868E-3</v>
      </c>
    </row>
    <row r="794" spans="1:2">
      <c r="A794">
        <v>7.3599999999998875</v>
      </c>
      <c r="B794">
        <f t="shared" si="11"/>
        <v>9.9999999999997868E-3</v>
      </c>
    </row>
    <row r="795" spans="1:2">
      <c r="A795">
        <v>7.3699999999998873</v>
      </c>
      <c r="B795">
        <f t="shared" si="11"/>
        <v>9.9999999999997868E-3</v>
      </c>
    </row>
    <row r="796" spans="1:2">
      <c r="A796">
        <v>7.3799999999998871</v>
      </c>
      <c r="B796">
        <f t="shared" si="11"/>
        <v>9.9999999999997868E-3</v>
      </c>
    </row>
    <row r="797" spans="1:2">
      <c r="A797">
        <v>7.3899999999998869</v>
      </c>
      <c r="B797">
        <f t="shared" si="11"/>
        <v>9.9999999999997868E-3</v>
      </c>
    </row>
    <row r="798" spans="1:2">
      <c r="A798">
        <v>7.3999999999998867</v>
      </c>
      <c r="B798">
        <f t="shared" si="11"/>
        <v>9.9999999999997868E-3</v>
      </c>
    </row>
    <row r="799" spans="1:2">
      <c r="A799">
        <v>7.4099999999998865</v>
      </c>
      <c r="B799">
        <f t="shared" si="11"/>
        <v>9.9999999999997868E-3</v>
      </c>
    </row>
    <row r="800" spans="1:2">
      <c r="A800">
        <v>7.4199999999998862</v>
      </c>
      <c r="B800">
        <f t="shared" si="11"/>
        <v>9.9999999999997868E-3</v>
      </c>
    </row>
    <row r="801" spans="1:2">
      <c r="A801">
        <v>7.429999999999886</v>
      </c>
      <c r="B801">
        <f t="shared" si="11"/>
        <v>9.9999999999997868E-3</v>
      </c>
    </row>
    <row r="802" spans="1:2">
      <c r="A802">
        <v>7.4399999999998858</v>
      </c>
      <c r="B802">
        <f t="shared" si="11"/>
        <v>9.9999999999997868E-3</v>
      </c>
    </row>
    <row r="803" spans="1:2">
      <c r="A803">
        <v>7.4499999999998856</v>
      </c>
      <c r="B803">
        <f t="shared" si="11"/>
        <v>9.9999999999997868E-3</v>
      </c>
    </row>
    <row r="804" spans="1:2">
      <c r="A804">
        <v>7.4599999999998854</v>
      </c>
      <c r="B804">
        <f t="shared" si="11"/>
        <v>9.9999999999997868E-3</v>
      </c>
    </row>
    <row r="805" spans="1:2">
      <c r="A805">
        <v>7.4699999999998852</v>
      </c>
      <c r="B805">
        <f t="shared" si="11"/>
        <v>9.9999999999997868E-3</v>
      </c>
    </row>
    <row r="806" spans="1:2">
      <c r="A806">
        <v>7.479999999999885</v>
      </c>
      <c r="B806">
        <f t="shared" si="11"/>
        <v>9.9999999999997868E-3</v>
      </c>
    </row>
    <row r="807" spans="1:2">
      <c r="A807">
        <v>7.4899999999998847</v>
      </c>
      <c r="B807">
        <f t="shared" si="11"/>
        <v>9.9999999999997868E-3</v>
      </c>
    </row>
    <row r="808" spans="1:2">
      <c r="A808">
        <v>7.4999999999998845</v>
      </c>
      <c r="B808">
        <f t="shared" si="11"/>
        <v>9.9999999999997868E-3</v>
      </c>
    </row>
    <row r="809" spans="1:2">
      <c r="A809">
        <v>7.5099999999998843</v>
      </c>
      <c r="B809">
        <f t="shared" si="11"/>
        <v>9.9999999999997868E-3</v>
      </c>
    </row>
    <row r="810" spans="1:2">
      <c r="A810">
        <v>7.5199999999998841</v>
      </c>
      <c r="B810">
        <f t="shared" ref="B810:B873" si="12">A810-A809</f>
        <v>9.9999999999997868E-3</v>
      </c>
    </row>
    <row r="811" spans="1:2">
      <c r="A811">
        <v>7.5299999999998839</v>
      </c>
      <c r="B811">
        <f t="shared" si="12"/>
        <v>9.9999999999997868E-3</v>
      </c>
    </row>
    <row r="812" spans="1:2">
      <c r="A812">
        <v>7.5399999999998837</v>
      </c>
      <c r="B812">
        <f t="shared" si="12"/>
        <v>9.9999999999997868E-3</v>
      </c>
    </row>
    <row r="813" spans="1:2">
      <c r="A813">
        <v>7.5499999999998835</v>
      </c>
      <c r="B813">
        <f t="shared" si="12"/>
        <v>9.9999999999997868E-3</v>
      </c>
    </row>
    <row r="814" spans="1:2">
      <c r="A814">
        <v>7.5599999999998833</v>
      </c>
      <c r="B814">
        <f t="shared" si="12"/>
        <v>9.9999999999997868E-3</v>
      </c>
    </row>
    <row r="815" spans="1:2">
      <c r="A815">
        <v>7.569999999999883</v>
      </c>
      <c r="B815">
        <f t="shared" si="12"/>
        <v>9.9999999999997868E-3</v>
      </c>
    </row>
    <row r="816" spans="1:2">
      <c r="A816">
        <v>7.5799999999998828</v>
      </c>
      <c r="B816">
        <f t="shared" si="12"/>
        <v>9.9999999999997868E-3</v>
      </c>
    </row>
    <row r="817" spans="1:2">
      <c r="A817">
        <v>7.5899999999998826</v>
      </c>
      <c r="B817">
        <f t="shared" si="12"/>
        <v>9.9999999999997868E-3</v>
      </c>
    </row>
    <row r="818" spans="1:2">
      <c r="A818">
        <v>7.5999999999998824</v>
      </c>
      <c r="B818">
        <f t="shared" si="12"/>
        <v>9.9999999999997868E-3</v>
      </c>
    </row>
    <row r="819" spans="1:2">
      <c r="A819">
        <v>7.6099999999998822</v>
      </c>
      <c r="B819">
        <f t="shared" si="12"/>
        <v>9.9999999999997868E-3</v>
      </c>
    </row>
    <row r="820" spans="1:2">
      <c r="A820">
        <v>7.619999999999882</v>
      </c>
      <c r="B820">
        <f t="shared" si="12"/>
        <v>9.9999999999997868E-3</v>
      </c>
    </row>
    <row r="821" spans="1:2">
      <c r="A821">
        <v>7.6299999999998818</v>
      </c>
      <c r="B821">
        <f t="shared" si="12"/>
        <v>9.9999999999997868E-3</v>
      </c>
    </row>
    <row r="822" spans="1:2">
      <c r="A822">
        <v>7.6399999999998816</v>
      </c>
      <c r="B822">
        <f t="shared" si="12"/>
        <v>9.9999999999997868E-3</v>
      </c>
    </row>
    <row r="823" spans="1:2">
      <c r="A823">
        <v>7.6499999999998813</v>
      </c>
      <c r="B823">
        <f t="shared" si="12"/>
        <v>9.9999999999997868E-3</v>
      </c>
    </row>
    <row r="824" spans="1:2">
      <c r="A824">
        <v>7.6599999999998811</v>
      </c>
      <c r="B824">
        <f t="shared" si="12"/>
        <v>9.9999999999997868E-3</v>
      </c>
    </row>
    <row r="825" spans="1:2">
      <c r="A825">
        <v>7.6699999999998809</v>
      </c>
      <c r="B825">
        <f t="shared" si="12"/>
        <v>9.9999999999997868E-3</v>
      </c>
    </row>
    <row r="826" spans="1:2">
      <c r="A826">
        <v>7.6799999999998807</v>
      </c>
      <c r="B826">
        <f t="shared" si="12"/>
        <v>9.9999999999997868E-3</v>
      </c>
    </row>
    <row r="827" spans="1:2">
      <c r="A827">
        <v>7.6899999999998805</v>
      </c>
      <c r="B827">
        <f t="shared" si="12"/>
        <v>9.9999999999997868E-3</v>
      </c>
    </row>
    <row r="828" spans="1:2">
      <c r="A828">
        <v>7.6999999999998803</v>
      </c>
      <c r="B828">
        <f t="shared" si="12"/>
        <v>9.9999999999997868E-3</v>
      </c>
    </row>
    <row r="829" spans="1:2">
      <c r="A829">
        <v>7.7099999999998801</v>
      </c>
      <c r="B829">
        <f t="shared" si="12"/>
        <v>9.9999999999997868E-3</v>
      </c>
    </row>
    <row r="830" spans="1:2">
      <c r="A830">
        <v>7.7199999999998798</v>
      </c>
      <c r="B830">
        <f t="shared" si="12"/>
        <v>9.9999999999997868E-3</v>
      </c>
    </row>
    <row r="831" spans="1:2">
      <c r="A831">
        <v>7.7299999999998796</v>
      </c>
      <c r="B831">
        <f t="shared" si="12"/>
        <v>9.9999999999997868E-3</v>
      </c>
    </row>
    <row r="832" spans="1:2">
      <c r="A832">
        <v>7.7399999999998794</v>
      </c>
      <c r="B832">
        <f t="shared" si="12"/>
        <v>9.9999999999997868E-3</v>
      </c>
    </row>
    <row r="833" spans="1:2">
      <c r="A833">
        <v>7.7499999999998792</v>
      </c>
      <c r="B833">
        <f t="shared" si="12"/>
        <v>9.9999999999997868E-3</v>
      </c>
    </row>
    <row r="834" spans="1:2">
      <c r="A834">
        <v>7.759999999999879</v>
      </c>
      <c r="B834">
        <f t="shared" si="12"/>
        <v>9.9999999999997868E-3</v>
      </c>
    </row>
    <row r="835" spans="1:2">
      <c r="A835">
        <v>7.7699999999998788</v>
      </c>
      <c r="B835">
        <f t="shared" si="12"/>
        <v>9.9999999999997868E-3</v>
      </c>
    </row>
    <row r="836" spans="1:2">
      <c r="A836">
        <v>7.7799999999998786</v>
      </c>
      <c r="B836">
        <f t="shared" si="12"/>
        <v>9.9999999999997868E-3</v>
      </c>
    </row>
    <row r="837" spans="1:2">
      <c r="A837">
        <v>7.7899999999998784</v>
      </c>
      <c r="B837">
        <f t="shared" si="12"/>
        <v>9.9999999999997868E-3</v>
      </c>
    </row>
    <row r="838" spans="1:2">
      <c r="A838">
        <v>7.7999999999998781</v>
      </c>
      <c r="B838">
        <f t="shared" si="12"/>
        <v>9.9999999999997868E-3</v>
      </c>
    </row>
    <row r="839" spans="1:2">
      <c r="A839">
        <v>7.8099999999998779</v>
      </c>
      <c r="B839">
        <f t="shared" si="12"/>
        <v>9.9999999999997868E-3</v>
      </c>
    </row>
    <row r="840" spans="1:2">
      <c r="A840">
        <v>7.8199999999998777</v>
      </c>
      <c r="B840">
        <f t="shared" si="12"/>
        <v>9.9999999999997868E-3</v>
      </c>
    </row>
    <row r="841" spans="1:2">
      <c r="A841">
        <v>7.8299999999998775</v>
      </c>
      <c r="B841">
        <f t="shared" si="12"/>
        <v>9.9999999999997868E-3</v>
      </c>
    </row>
    <row r="842" spans="1:2">
      <c r="A842">
        <v>7.8399999999998773</v>
      </c>
      <c r="B842">
        <f t="shared" si="12"/>
        <v>9.9999999999997868E-3</v>
      </c>
    </row>
    <row r="843" spans="1:2">
      <c r="A843">
        <v>7.8499999999998771</v>
      </c>
      <c r="B843">
        <f t="shared" si="12"/>
        <v>9.9999999999997868E-3</v>
      </c>
    </row>
    <row r="844" spans="1:2">
      <c r="A844">
        <v>7.8599999999998769</v>
      </c>
      <c r="B844">
        <f t="shared" si="12"/>
        <v>9.9999999999997868E-3</v>
      </c>
    </row>
    <row r="845" spans="1:2">
      <c r="A845">
        <v>7.8699999999998766</v>
      </c>
      <c r="B845">
        <f t="shared" si="12"/>
        <v>9.9999999999997868E-3</v>
      </c>
    </row>
    <row r="846" spans="1:2">
      <c r="A846">
        <v>7.8799999999998764</v>
      </c>
      <c r="B846">
        <f t="shared" si="12"/>
        <v>9.9999999999997868E-3</v>
      </c>
    </row>
    <row r="847" spans="1:2">
      <c r="A847">
        <v>7.8899999999998762</v>
      </c>
      <c r="B847">
        <f t="shared" si="12"/>
        <v>9.9999999999997868E-3</v>
      </c>
    </row>
    <row r="848" spans="1:2">
      <c r="A848">
        <v>7.899999999999876</v>
      </c>
      <c r="B848">
        <f t="shared" si="12"/>
        <v>9.9999999999997868E-3</v>
      </c>
    </row>
    <row r="849" spans="1:2">
      <c r="A849">
        <v>7.9099999999998758</v>
      </c>
      <c r="B849">
        <f t="shared" si="12"/>
        <v>9.9999999999997868E-3</v>
      </c>
    </row>
    <row r="850" spans="1:2">
      <c r="A850">
        <v>7.9199999999998756</v>
      </c>
      <c r="B850">
        <f t="shared" si="12"/>
        <v>9.9999999999997868E-3</v>
      </c>
    </row>
    <row r="851" spans="1:2">
      <c r="A851">
        <v>7.9299999999998754</v>
      </c>
      <c r="B851">
        <f t="shared" si="12"/>
        <v>9.9999999999997868E-3</v>
      </c>
    </row>
    <row r="852" spans="1:2">
      <c r="A852">
        <v>7.9399999999998752</v>
      </c>
      <c r="B852">
        <f t="shared" si="12"/>
        <v>9.9999999999997868E-3</v>
      </c>
    </row>
    <row r="853" spans="1:2">
      <c r="A853">
        <v>7.9499999999998749</v>
      </c>
      <c r="B853">
        <f t="shared" si="12"/>
        <v>9.9999999999997868E-3</v>
      </c>
    </row>
    <row r="854" spans="1:2">
      <c r="A854">
        <v>7.9599999999998747</v>
      </c>
      <c r="B854">
        <f t="shared" si="12"/>
        <v>9.9999999999997868E-3</v>
      </c>
    </row>
    <row r="855" spans="1:2">
      <c r="A855">
        <v>7.9699999999998745</v>
      </c>
      <c r="B855">
        <f t="shared" si="12"/>
        <v>9.9999999999997868E-3</v>
      </c>
    </row>
    <row r="856" spans="1:2">
      <c r="A856">
        <v>7.9799999999998743</v>
      </c>
      <c r="B856">
        <f t="shared" si="12"/>
        <v>9.9999999999997868E-3</v>
      </c>
    </row>
    <row r="857" spans="1:2">
      <c r="A857">
        <v>7.9899999999998741</v>
      </c>
      <c r="B857">
        <f t="shared" si="12"/>
        <v>9.9999999999997868E-3</v>
      </c>
    </row>
    <row r="858" spans="1:2">
      <c r="A858">
        <v>7.9999999999998739</v>
      </c>
      <c r="B858">
        <f t="shared" si="12"/>
        <v>9.9999999999997868E-3</v>
      </c>
    </row>
    <row r="859" spans="1:2">
      <c r="A859">
        <v>8.0099999999998737</v>
      </c>
      <c r="B859">
        <f t="shared" si="12"/>
        <v>9.9999999999997868E-3</v>
      </c>
    </row>
    <row r="860" spans="1:2">
      <c r="A860">
        <v>8.0199999999998735</v>
      </c>
      <c r="B860">
        <f t="shared" si="12"/>
        <v>9.9999999999997868E-3</v>
      </c>
    </row>
    <row r="861" spans="1:2">
      <c r="A861">
        <v>8.0299999999998732</v>
      </c>
      <c r="B861">
        <f t="shared" si="12"/>
        <v>9.9999999999997868E-3</v>
      </c>
    </row>
    <row r="862" spans="1:2">
      <c r="A862">
        <v>8.039999999999873</v>
      </c>
      <c r="B862">
        <f t="shared" si="12"/>
        <v>9.9999999999997868E-3</v>
      </c>
    </row>
    <row r="863" spans="1:2">
      <c r="A863">
        <v>8.0499999999998728</v>
      </c>
      <c r="B863">
        <f t="shared" si="12"/>
        <v>9.9999999999997868E-3</v>
      </c>
    </row>
    <row r="864" spans="1:2">
      <c r="A864">
        <v>8.0599999999998726</v>
      </c>
      <c r="B864">
        <f t="shared" si="12"/>
        <v>9.9999999999997868E-3</v>
      </c>
    </row>
    <row r="865" spans="1:2">
      <c r="A865">
        <v>8.0699999999998724</v>
      </c>
      <c r="B865">
        <f t="shared" si="12"/>
        <v>9.9999999999997868E-3</v>
      </c>
    </row>
    <row r="866" spans="1:2">
      <c r="A866">
        <v>8.0799999999998722</v>
      </c>
      <c r="B866">
        <f t="shared" si="12"/>
        <v>9.9999999999997868E-3</v>
      </c>
    </row>
    <row r="867" spans="1:2">
      <c r="A867">
        <v>8.089999999999872</v>
      </c>
      <c r="B867">
        <f t="shared" si="12"/>
        <v>9.9999999999997868E-3</v>
      </c>
    </row>
    <row r="868" spans="1:2">
      <c r="A868">
        <v>8.0999999999998717</v>
      </c>
      <c r="B868">
        <f t="shared" si="12"/>
        <v>9.9999999999997868E-3</v>
      </c>
    </row>
    <row r="869" spans="1:2">
      <c r="A869">
        <v>8.1099999999998715</v>
      </c>
      <c r="B869">
        <f t="shared" si="12"/>
        <v>9.9999999999997868E-3</v>
      </c>
    </row>
    <row r="870" spans="1:2">
      <c r="A870">
        <v>8.1199999999998713</v>
      </c>
      <c r="B870">
        <f t="shared" si="12"/>
        <v>9.9999999999997868E-3</v>
      </c>
    </row>
    <row r="871" spans="1:2">
      <c r="A871">
        <v>8.1299999999998711</v>
      </c>
      <c r="B871">
        <f t="shared" si="12"/>
        <v>9.9999999999997868E-3</v>
      </c>
    </row>
    <row r="872" spans="1:2">
      <c r="A872">
        <v>8.1399999999998709</v>
      </c>
      <c r="B872">
        <f t="shared" si="12"/>
        <v>9.9999999999997868E-3</v>
      </c>
    </row>
    <row r="873" spans="1:2">
      <c r="A873">
        <v>8.1499999999998707</v>
      </c>
      <c r="B873">
        <f t="shared" si="12"/>
        <v>9.9999999999997868E-3</v>
      </c>
    </row>
    <row r="874" spans="1:2">
      <c r="A874">
        <v>8.1599999999998705</v>
      </c>
      <c r="B874">
        <f t="shared" ref="B874:B937" si="13">A874-A873</f>
        <v>9.9999999999997868E-3</v>
      </c>
    </row>
    <row r="875" spans="1:2">
      <c r="A875">
        <v>8.1699999999998703</v>
      </c>
      <c r="B875">
        <f t="shared" si="13"/>
        <v>9.9999999999997868E-3</v>
      </c>
    </row>
    <row r="876" spans="1:2">
      <c r="A876">
        <v>8.17999999999987</v>
      </c>
      <c r="B876">
        <f t="shared" si="13"/>
        <v>9.9999999999997868E-3</v>
      </c>
    </row>
    <row r="877" spans="1:2">
      <c r="A877">
        <v>8.1899999999998698</v>
      </c>
      <c r="B877">
        <f t="shared" si="13"/>
        <v>9.9999999999997868E-3</v>
      </c>
    </row>
    <row r="878" spans="1:2">
      <c r="A878">
        <v>8.1999999999998696</v>
      </c>
      <c r="B878">
        <f t="shared" si="13"/>
        <v>9.9999999999997868E-3</v>
      </c>
    </row>
    <row r="879" spans="1:2">
      <c r="A879">
        <v>8.2099999999998694</v>
      </c>
      <c r="B879">
        <f t="shared" si="13"/>
        <v>9.9999999999997868E-3</v>
      </c>
    </row>
    <row r="880" spans="1:2">
      <c r="A880">
        <v>8.2199999999998692</v>
      </c>
      <c r="B880">
        <f t="shared" si="13"/>
        <v>9.9999999999997868E-3</v>
      </c>
    </row>
    <row r="881" spans="1:2">
      <c r="A881">
        <v>8.229999999999869</v>
      </c>
      <c r="B881">
        <f t="shared" si="13"/>
        <v>9.9999999999997868E-3</v>
      </c>
    </row>
    <row r="882" spans="1:2">
      <c r="A882">
        <v>8.2399999999998688</v>
      </c>
      <c r="B882">
        <f t="shared" si="13"/>
        <v>9.9999999999997868E-3</v>
      </c>
    </row>
    <row r="883" spans="1:2">
      <c r="A883">
        <v>8.2499999999998685</v>
      </c>
      <c r="B883">
        <f t="shared" si="13"/>
        <v>9.9999999999997868E-3</v>
      </c>
    </row>
    <row r="884" spans="1:2">
      <c r="A884">
        <v>8.2599999999998683</v>
      </c>
      <c r="B884">
        <f t="shared" si="13"/>
        <v>9.9999999999997868E-3</v>
      </c>
    </row>
    <row r="885" spans="1:2">
      <c r="A885">
        <v>8.2699999999998681</v>
      </c>
      <c r="B885">
        <f t="shared" si="13"/>
        <v>9.9999999999997868E-3</v>
      </c>
    </row>
    <row r="886" spans="1:2">
      <c r="A886">
        <v>8.2799999999998679</v>
      </c>
      <c r="B886">
        <f t="shared" si="13"/>
        <v>9.9999999999997868E-3</v>
      </c>
    </row>
    <row r="887" spans="1:2">
      <c r="A887">
        <v>8.2899999999998677</v>
      </c>
      <c r="B887">
        <f t="shared" si="13"/>
        <v>9.9999999999997868E-3</v>
      </c>
    </row>
    <row r="888" spans="1:2">
      <c r="A888">
        <v>8.2999999999998675</v>
      </c>
      <c r="B888">
        <f t="shared" si="13"/>
        <v>9.9999999999997868E-3</v>
      </c>
    </row>
    <row r="889" spans="1:2">
      <c r="A889">
        <v>8.3099999999998673</v>
      </c>
      <c r="B889">
        <f t="shared" si="13"/>
        <v>9.9999999999997868E-3</v>
      </c>
    </row>
    <row r="890" spans="1:2">
      <c r="A890">
        <v>8.3199999999998671</v>
      </c>
      <c r="B890">
        <f t="shared" si="13"/>
        <v>9.9999999999997868E-3</v>
      </c>
    </row>
    <row r="891" spans="1:2">
      <c r="A891">
        <v>8.3299999999998668</v>
      </c>
      <c r="B891">
        <f t="shared" si="13"/>
        <v>9.9999999999997868E-3</v>
      </c>
    </row>
    <row r="892" spans="1:2">
      <c r="A892">
        <v>8.3399999999998666</v>
      </c>
      <c r="B892">
        <f t="shared" si="13"/>
        <v>9.9999999999997868E-3</v>
      </c>
    </row>
    <row r="893" spans="1:2">
      <c r="A893">
        <v>8.3499999999998664</v>
      </c>
      <c r="B893">
        <f t="shared" si="13"/>
        <v>9.9999999999997868E-3</v>
      </c>
    </row>
    <row r="894" spans="1:2">
      <c r="A894">
        <v>8.3599999999998662</v>
      </c>
      <c r="B894">
        <f t="shared" si="13"/>
        <v>9.9999999999997868E-3</v>
      </c>
    </row>
    <row r="895" spans="1:2">
      <c r="A895">
        <v>8.369999999999866</v>
      </c>
      <c r="B895">
        <f t="shared" si="13"/>
        <v>9.9999999999997868E-3</v>
      </c>
    </row>
    <row r="896" spans="1:2">
      <c r="A896">
        <v>8.3799999999998658</v>
      </c>
      <c r="B896">
        <f t="shared" si="13"/>
        <v>9.9999999999997868E-3</v>
      </c>
    </row>
    <row r="897" spans="1:2">
      <c r="A897">
        <v>8.3899999999998656</v>
      </c>
      <c r="B897">
        <f t="shared" si="13"/>
        <v>9.9999999999997868E-3</v>
      </c>
    </row>
    <row r="898" spans="1:2">
      <c r="A898">
        <v>8.3999999999998654</v>
      </c>
      <c r="B898">
        <f t="shared" si="13"/>
        <v>9.9999999999997868E-3</v>
      </c>
    </row>
    <row r="899" spans="1:2">
      <c r="A899">
        <v>8.4099999999998651</v>
      </c>
      <c r="B899">
        <f t="shared" si="13"/>
        <v>9.9999999999997868E-3</v>
      </c>
    </row>
    <row r="900" spans="1:2">
      <c r="A900">
        <v>8.4199999999998649</v>
      </c>
      <c r="B900">
        <f t="shared" si="13"/>
        <v>9.9999999999997868E-3</v>
      </c>
    </row>
    <row r="901" spans="1:2">
      <c r="A901">
        <v>8.4299999999998647</v>
      </c>
      <c r="B901">
        <f t="shared" si="13"/>
        <v>9.9999999999997868E-3</v>
      </c>
    </row>
    <row r="902" spans="1:2">
      <c r="A902">
        <v>8.4399999999998645</v>
      </c>
      <c r="B902">
        <f t="shared" si="13"/>
        <v>9.9999999999997868E-3</v>
      </c>
    </row>
    <row r="903" spans="1:2">
      <c r="A903">
        <v>8.4499999999998643</v>
      </c>
      <c r="B903">
        <f t="shared" si="13"/>
        <v>9.9999999999997868E-3</v>
      </c>
    </row>
    <row r="904" spans="1:2">
      <c r="A904">
        <v>8.4599999999998641</v>
      </c>
      <c r="B904">
        <f t="shared" si="13"/>
        <v>9.9999999999997868E-3</v>
      </c>
    </row>
    <row r="905" spans="1:2">
      <c r="A905">
        <v>8.4699999999998639</v>
      </c>
      <c r="B905">
        <f t="shared" si="13"/>
        <v>9.9999999999997868E-3</v>
      </c>
    </row>
    <row r="906" spans="1:2">
      <c r="A906">
        <v>8.4799999999998636</v>
      </c>
      <c r="B906">
        <f t="shared" si="13"/>
        <v>9.9999999999997868E-3</v>
      </c>
    </row>
    <row r="907" spans="1:2">
      <c r="A907">
        <v>8.4899999999998634</v>
      </c>
      <c r="B907">
        <f t="shared" si="13"/>
        <v>9.9999999999997868E-3</v>
      </c>
    </row>
    <row r="908" spans="1:2">
      <c r="A908">
        <v>8.4999999999998632</v>
      </c>
      <c r="B908">
        <f t="shared" si="13"/>
        <v>9.9999999999997868E-3</v>
      </c>
    </row>
    <row r="909" spans="1:2">
      <c r="A909">
        <v>8.509999999999863</v>
      </c>
      <c r="B909">
        <f t="shared" si="13"/>
        <v>9.9999999999997868E-3</v>
      </c>
    </row>
    <row r="910" spans="1:2">
      <c r="A910">
        <v>8.5199999999998628</v>
      </c>
      <c r="B910">
        <f t="shared" si="13"/>
        <v>9.9999999999997868E-3</v>
      </c>
    </row>
    <row r="911" spans="1:2">
      <c r="A911">
        <v>8.5299999999998626</v>
      </c>
      <c r="B911">
        <f t="shared" si="13"/>
        <v>9.9999999999997868E-3</v>
      </c>
    </row>
    <row r="912" spans="1:2">
      <c r="A912">
        <v>8.5399999999998624</v>
      </c>
      <c r="B912">
        <f t="shared" si="13"/>
        <v>9.9999999999997868E-3</v>
      </c>
    </row>
    <row r="913" spans="1:2">
      <c r="A913">
        <v>8.5499999999998622</v>
      </c>
      <c r="B913">
        <f t="shared" si="13"/>
        <v>9.9999999999997868E-3</v>
      </c>
    </row>
    <row r="914" spans="1:2">
      <c r="A914">
        <v>8.5599999999998619</v>
      </c>
      <c r="B914">
        <f t="shared" si="13"/>
        <v>9.9999999999997868E-3</v>
      </c>
    </row>
    <row r="915" spans="1:2">
      <c r="A915">
        <v>8.5699999999998617</v>
      </c>
      <c r="B915">
        <f t="shared" si="13"/>
        <v>9.9999999999997868E-3</v>
      </c>
    </row>
    <row r="916" spans="1:2">
      <c r="A916">
        <v>8.5799999999998615</v>
      </c>
      <c r="B916">
        <f t="shared" si="13"/>
        <v>9.9999999999997868E-3</v>
      </c>
    </row>
    <row r="917" spans="1:2">
      <c r="A917">
        <v>8.5899999999998613</v>
      </c>
      <c r="B917">
        <f t="shared" si="13"/>
        <v>9.9999999999997868E-3</v>
      </c>
    </row>
    <row r="918" spans="1:2">
      <c r="A918">
        <v>8.5999999999998611</v>
      </c>
      <c r="B918">
        <f t="shared" si="13"/>
        <v>9.9999999999997868E-3</v>
      </c>
    </row>
    <row r="919" spans="1:2">
      <c r="A919">
        <v>8.6099999999998609</v>
      </c>
      <c r="B919">
        <f t="shared" si="13"/>
        <v>9.9999999999997868E-3</v>
      </c>
    </row>
    <row r="920" spans="1:2">
      <c r="A920">
        <v>8.6199999999998607</v>
      </c>
      <c r="B920">
        <f t="shared" si="13"/>
        <v>9.9999999999997868E-3</v>
      </c>
    </row>
    <row r="921" spans="1:2">
      <c r="A921">
        <v>8.6299999999998604</v>
      </c>
      <c r="B921">
        <f t="shared" si="13"/>
        <v>9.9999999999997868E-3</v>
      </c>
    </row>
    <row r="922" spans="1:2">
      <c r="A922">
        <v>8.6399999999998602</v>
      </c>
      <c r="B922">
        <f t="shared" si="13"/>
        <v>9.9999999999997868E-3</v>
      </c>
    </row>
    <row r="923" spans="1:2">
      <c r="A923">
        <v>8.64999999999986</v>
      </c>
      <c r="B923">
        <f t="shared" si="13"/>
        <v>9.9999999999997868E-3</v>
      </c>
    </row>
    <row r="924" spans="1:2">
      <c r="A924">
        <v>8.6599999999998598</v>
      </c>
      <c r="B924">
        <f t="shared" si="13"/>
        <v>9.9999999999997868E-3</v>
      </c>
    </row>
    <row r="925" spans="1:2">
      <c r="A925">
        <v>8.6699999999998596</v>
      </c>
      <c r="B925">
        <f t="shared" si="13"/>
        <v>9.9999999999997868E-3</v>
      </c>
    </row>
    <row r="926" spans="1:2">
      <c r="A926">
        <v>8.6799999999998594</v>
      </c>
      <c r="B926">
        <f t="shared" si="13"/>
        <v>9.9999999999997868E-3</v>
      </c>
    </row>
    <row r="927" spans="1:2">
      <c r="A927">
        <v>8.6899999999998592</v>
      </c>
      <c r="B927">
        <f t="shared" si="13"/>
        <v>9.9999999999997868E-3</v>
      </c>
    </row>
    <row r="928" spans="1:2">
      <c r="A928">
        <v>8.699999999999859</v>
      </c>
      <c r="B928">
        <f t="shared" si="13"/>
        <v>9.9999999999997868E-3</v>
      </c>
    </row>
    <row r="929" spans="1:2">
      <c r="A929">
        <v>8.7099999999998587</v>
      </c>
      <c r="B929">
        <f t="shared" si="13"/>
        <v>9.9999999999997868E-3</v>
      </c>
    </row>
    <row r="930" spans="1:2">
      <c r="A930">
        <v>8.7199999999998585</v>
      </c>
      <c r="B930">
        <f t="shared" si="13"/>
        <v>9.9999999999997868E-3</v>
      </c>
    </row>
    <row r="931" spans="1:2">
      <c r="A931">
        <v>8.7299999999998583</v>
      </c>
      <c r="B931">
        <f t="shared" si="13"/>
        <v>9.9999999999997868E-3</v>
      </c>
    </row>
    <row r="932" spans="1:2">
      <c r="A932">
        <v>8.7399999999998581</v>
      </c>
      <c r="B932">
        <f t="shared" si="13"/>
        <v>9.9999999999997868E-3</v>
      </c>
    </row>
    <row r="933" spans="1:2">
      <c r="A933">
        <v>8.7499999999998579</v>
      </c>
      <c r="B933">
        <f t="shared" si="13"/>
        <v>9.9999999999997868E-3</v>
      </c>
    </row>
    <row r="934" spans="1:2">
      <c r="A934">
        <v>8.7599999999998577</v>
      </c>
      <c r="B934">
        <f t="shared" si="13"/>
        <v>9.9999999999997868E-3</v>
      </c>
    </row>
    <row r="935" spans="1:2">
      <c r="A935">
        <v>8.7699999999998575</v>
      </c>
      <c r="B935">
        <f t="shared" si="13"/>
        <v>9.9999999999997868E-3</v>
      </c>
    </row>
    <row r="936" spans="1:2">
      <c r="A936">
        <v>8.7799999999998573</v>
      </c>
      <c r="B936">
        <f t="shared" si="13"/>
        <v>9.9999999999997868E-3</v>
      </c>
    </row>
    <row r="937" spans="1:2">
      <c r="A937">
        <v>8.789999999999857</v>
      </c>
      <c r="B937">
        <f t="shared" si="13"/>
        <v>9.9999999999997868E-3</v>
      </c>
    </row>
    <row r="938" spans="1:2">
      <c r="A938">
        <v>8.7999999999998568</v>
      </c>
      <c r="B938">
        <f t="shared" ref="B938:B1001" si="14">A938-A937</f>
        <v>9.9999999999997868E-3</v>
      </c>
    </row>
    <row r="939" spans="1:2">
      <c r="A939">
        <v>8.8099999999998566</v>
      </c>
      <c r="B939">
        <f t="shared" si="14"/>
        <v>9.9999999999997868E-3</v>
      </c>
    </row>
    <row r="940" spans="1:2">
      <c r="A940">
        <v>8.8199999999998564</v>
      </c>
      <c r="B940">
        <f t="shared" si="14"/>
        <v>9.9999999999997868E-3</v>
      </c>
    </row>
    <row r="941" spans="1:2">
      <c r="A941">
        <v>8.8299999999998562</v>
      </c>
      <c r="B941">
        <f t="shared" si="14"/>
        <v>9.9999999999997868E-3</v>
      </c>
    </row>
    <row r="942" spans="1:2">
      <c r="A942">
        <v>8.839999999999856</v>
      </c>
      <c r="B942">
        <f t="shared" si="14"/>
        <v>9.9999999999997868E-3</v>
      </c>
    </row>
    <row r="943" spans="1:2">
      <c r="A943">
        <v>8.8499999999998558</v>
      </c>
      <c r="B943">
        <f t="shared" si="14"/>
        <v>9.9999999999997868E-3</v>
      </c>
    </row>
    <row r="944" spans="1:2">
      <c r="A944">
        <v>8.8599999999998555</v>
      </c>
      <c r="B944">
        <f t="shared" si="14"/>
        <v>9.9999999999997868E-3</v>
      </c>
    </row>
    <row r="945" spans="1:2">
      <c r="A945">
        <v>8.8699999999998553</v>
      </c>
      <c r="B945">
        <f t="shared" si="14"/>
        <v>9.9999999999997868E-3</v>
      </c>
    </row>
    <row r="946" spans="1:2">
      <c r="A946">
        <v>8.8799999999998551</v>
      </c>
      <c r="B946">
        <f t="shared" si="14"/>
        <v>9.9999999999997868E-3</v>
      </c>
    </row>
    <row r="947" spans="1:2">
      <c r="A947">
        <v>8.8899999999998549</v>
      </c>
      <c r="B947">
        <f t="shared" si="14"/>
        <v>9.9999999999997868E-3</v>
      </c>
    </row>
    <row r="948" spans="1:2">
      <c r="A948">
        <v>8.8999999999998547</v>
      </c>
      <c r="B948">
        <f t="shared" si="14"/>
        <v>9.9999999999997868E-3</v>
      </c>
    </row>
    <row r="949" spans="1:2">
      <c r="A949">
        <v>8.9099999999998545</v>
      </c>
      <c r="B949">
        <f t="shared" si="14"/>
        <v>9.9999999999997868E-3</v>
      </c>
    </row>
    <row r="950" spans="1:2">
      <c r="A950">
        <v>8.9199999999998543</v>
      </c>
      <c r="B950">
        <f t="shared" si="14"/>
        <v>9.9999999999997868E-3</v>
      </c>
    </row>
    <row r="951" spans="1:2">
      <c r="A951">
        <v>8.9299999999998541</v>
      </c>
      <c r="B951">
        <f t="shared" si="14"/>
        <v>9.9999999999997868E-3</v>
      </c>
    </row>
    <row r="952" spans="1:2">
      <c r="A952">
        <v>8.9399999999998538</v>
      </c>
      <c r="B952">
        <f t="shared" si="14"/>
        <v>9.9999999999997868E-3</v>
      </c>
    </row>
    <row r="953" spans="1:2">
      <c r="A953">
        <v>8.9499999999998536</v>
      </c>
      <c r="B953">
        <f t="shared" si="14"/>
        <v>9.9999999999997868E-3</v>
      </c>
    </row>
    <row r="954" spans="1:2">
      <c r="A954">
        <v>8.9599999999998534</v>
      </c>
      <c r="B954">
        <f t="shared" si="14"/>
        <v>9.9999999999997868E-3</v>
      </c>
    </row>
    <row r="955" spans="1:2">
      <c r="A955">
        <v>8.9699999999998532</v>
      </c>
      <c r="B955">
        <f t="shared" si="14"/>
        <v>9.9999999999997868E-3</v>
      </c>
    </row>
    <row r="956" spans="1:2">
      <c r="A956">
        <v>8.979999999999853</v>
      </c>
      <c r="B956">
        <f t="shared" si="14"/>
        <v>9.9999999999997868E-3</v>
      </c>
    </row>
    <row r="957" spans="1:2">
      <c r="A957">
        <v>8.9899999999998528</v>
      </c>
      <c r="B957">
        <f t="shared" si="14"/>
        <v>9.9999999999997868E-3</v>
      </c>
    </row>
    <row r="958" spans="1:2">
      <c r="A958">
        <v>8.9999999999998526</v>
      </c>
      <c r="B958">
        <f t="shared" si="14"/>
        <v>9.9999999999997868E-3</v>
      </c>
    </row>
    <row r="959" spans="1:2">
      <c r="A959">
        <v>9.0099999999998523</v>
      </c>
      <c r="B959">
        <f t="shared" si="14"/>
        <v>9.9999999999997868E-3</v>
      </c>
    </row>
    <row r="960" spans="1:2">
      <c r="A960">
        <v>9.0199999999998521</v>
      </c>
      <c r="B960">
        <f t="shared" si="14"/>
        <v>9.9999999999997868E-3</v>
      </c>
    </row>
    <row r="961" spans="1:2">
      <c r="A961">
        <v>9.0299999999998519</v>
      </c>
      <c r="B961">
        <f t="shared" si="14"/>
        <v>9.9999999999997868E-3</v>
      </c>
    </row>
    <row r="962" spans="1:2">
      <c r="A962">
        <v>9.0399999999998517</v>
      </c>
      <c r="B962">
        <f t="shared" si="14"/>
        <v>9.9999999999997868E-3</v>
      </c>
    </row>
    <row r="963" spans="1:2">
      <c r="A963">
        <v>9.0499999999998515</v>
      </c>
      <c r="B963">
        <f t="shared" si="14"/>
        <v>9.9999999999997868E-3</v>
      </c>
    </row>
    <row r="964" spans="1:2">
      <c r="A964">
        <v>9.0599999999998513</v>
      </c>
      <c r="B964">
        <f t="shared" si="14"/>
        <v>9.9999999999997868E-3</v>
      </c>
    </row>
    <row r="965" spans="1:2">
      <c r="A965">
        <v>9.0699999999998511</v>
      </c>
      <c r="B965">
        <f t="shared" si="14"/>
        <v>9.9999999999997868E-3</v>
      </c>
    </row>
    <row r="966" spans="1:2">
      <c r="A966">
        <v>9.0799999999998509</v>
      </c>
      <c r="B966">
        <f t="shared" si="14"/>
        <v>9.9999999999997868E-3</v>
      </c>
    </row>
    <row r="967" spans="1:2">
      <c r="A967">
        <v>9.0899999999998506</v>
      </c>
      <c r="B967">
        <f t="shared" si="14"/>
        <v>9.9999999999997868E-3</v>
      </c>
    </row>
    <row r="968" spans="1:2">
      <c r="A968">
        <v>9.0999999999998504</v>
      </c>
      <c r="B968">
        <f t="shared" si="14"/>
        <v>9.9999999999997868E-3</v>
      </c>
    </row>
    <row r="969" spans="1:2">
      <c r="A969">
        <v>9.1099999999998502</v>
      </c>
      <c r="B969">
        <f t="shared" si="14"/>
        <v>9.9999999999997868E-3</v>
      </c>
    </row>
    <row r="970" spans="1:2">
      <c r="A970">
        <v>9.11999999999985</v>
      </c>
      <c r="B970">
        <f t="shared" si="14"/>
        <v>9.9999999999997868E-3</v>
      </c>
    </row>
    <row r="971" spans="1:2">
      <c r="A971">
        <v>9.1299999999998498</v>
      </c>
      <c r="B971">
        <f t="shared" si="14"/>
        <v>9.9999999999997868E-3</v>
      </c>
    </row>
    <row r="972" spans="1:2">
      <c r="A972">
        <v>9.1399999999998496</v>
      </c>
      <c r="B972">
        <f t="shared" si="14"/>
        <v>9.9999999999997868E-3</v>
      </c>
    </row>
    <row r="973" spans="1:2">
      <c r="A973">
        <v>9.1499999999998494</v>
      </c>
      <c r="B973">
        <f t="shared" si="14"/>
        <v>9.9999999999997868E-3</v>
      </c>
    </row>
    <row r="974" spans="1:2">
      <c r="A974">
        <v>9.1599999999998492</v>
      </c>
      <c r="B974">
        <f t="shared" si="14"/>
        <v>9.9999999999997868E-3</v>
      </c>
    </row>
    <row r="975" spans="1:2">
      <c r="A975">
        <v>9.1699999999998489</v>
      </c>
      <c r="B975">
        <f t="shared" si="14"/>
        <v>9.9999999999997868E-3</v>
      </c>
    </row>
    <row r="976" spans="1:2">
      <c r="A976">
        <v>9.1799999999998487</v>
      </c>
      <c r="B976">
        <f t="shared" si="14"/>
        <v>9.9999999999997868E-3</v>
      </c>
    </row>
    <row r="977" spans="1:2">
      <c r="A977">
        <v>9.1899999999998485</v>
      </c>
      <c r="B977">
        <f t="shared" si="14"/>
        <v>9.9999999999997868E-3</v>
      </c>
    </row>
    <row r="978" spans="1:2">
      <c r="A978">
        <v>9.1999999999998483</v>
      </c>
      <c r="B978">
        <f t="shared" si="14"/>
        <v>9.9999999999997868E-3</v>
      </c>
    </row>
    <row r="979" spans="1:2">
      <c r="A979">
        <v>9.2099999999998481</v>
      </c>
      <c r="B979">
        <f t="shared" si="14"/>
        <v>9.9999999999997868E-3</v>
      </c>
    </row>
    <row r="980" spans="1:2">
      <c r="A980">
        <v>9.2199999999998479</v>
      </c>
      <c r="B980">
        <f t="shared" si="14"/>
        <v>9.9999999999997868E-3</v>
      </c>
    </row>
    <row r="981" spans="1:2">
      <c r="A981">
        <v>9.2299999999998477</v>
      </c>
      <c r="B981">
        <f t="shared" si="14"/>
        <v>9.9999999999997868E-3</v>
      </c>
    </row>
    <row r="982" spans="1:2">
      <c r="A982">
        <v>9.2399999999998474</v>
      </c>
      <c r="B982">
        <f t="shared" si="14"/>
        <v>9.9999999999997868E-3</v>
      </c>
    </row>
    <row r="983" spans="1:2">
      <c r="A983">
        <v>9.2499999999998472</v>
      </c>
      <c r="B983">
        <f t="shared" si="14"/>
        <v>9.9999999999997868E-3</v>
      </c>
    </row>
    <row r="984" spans="1:2">
      <c r="A984">
        <v>9.259999999999847</v>
      </c>
      <c r="B984">
        <f t="shared" si="14"/>
        <v>9.9999999999997868E-3</v>
      </c>
    </row>
    <row r="985" spans="1:2">
      <c r="A985">
        <v>9.2699999999998468</v>
      </c>
      <c r="B985">
        <f t="shared" si="14"/>
        <v>9.9999999999997868E-3</v>
      </c>
    </row>
    <row r="986" spans="1:2">
      <c r="A986">
        <v>9.2799999999998466</v>
      </c>
      <c r="B986">
        <f t="shared" si="14"/>
        <v>9.9999999999997868E-3</v>
      </c>
    </row>
    <row r="987" spans="1:2">
      <c r="A987">
        <v>9.2899999999998464</v>
      </c>
      <c r="B987">
        <f t="shared" si="14"/>
        <v>9.9999999999997868E-3</v>
      </c>
    </row>
    <row r="988" spans="1:2">
      <c r="A988">
        <v>9.2999999999998462</v>
      </c>
      <c r="B988">
        <f t="shared" si="14"/>
        <v>9.9999999999997868E-3</v>
      </c>
    </row>
    <row r="989" spans="1:2">
      <c r="A989">
        <v>9.309999999999846</v>
      </c>
      <c r="B989">
        <f t="shared" si="14"/>
        <v>9.9999999999997868E-3</v>
      </c>
    </row>
    <row r="990" spans="1:2">
      <c r="A990">
        <v>9.3199999999998457</v>
      </c>
      <c r="B990">
        <f t="shared" si="14"/>
        <v>9.9999999999997868E-3</v>
      </c>
    </row>
    <row r="991" spans="1:2">
      <c r="A991">
        <v>9.3299999999998455</v>
      </c>
      <c r="B991">
        <f t="shared" si="14"/>
        <v>9.9999999999997868E-3</v>
      </c>
    </row>
    <row r="992" spans="1:2">
      <c r="A992">
        <v>9.3399999999998453</v>
      </c>
      <c r="B992">
        <f t="shared" si="14"/>
        <v>9.9999999999997868E-3</v>
      </c>
    </row>
    <row r="993" spans="1:2">
      <c r="A993">
        <v>9.3499999999998451</v>
      </c>
      <c r="B993">
        <f t="shared" si="14"/>
        <v>9.9999999999997868E-3</v>
      </c>
    </row>
    <row r="994" spans="1:2">
      <c r="A994">
        <v>9.3599999999998449</v>
      </c>
      <c r="B994">
        <f t="shared" si="14"/>
        <v>9.9999999999997868E-3</v>
      </c>
    </row>
    <row r="995" spans="1:2">
      <c r="A995">
        <v>9.3699999999998447</v>
      </c>
      <c r="B995">
        <f t="shared" si="14"/>
        <v>9.9999999999997868E-3</v>
      </c>
    </row>
    <row r="996" spans="1:2">
      <c r="A996">
        <v>9.3799999999998445</v>
      </c>
      <c r="B996">
        <f t="shared" si="14"/>
        <v>9.9999999999997868E-3</v>
      </c>
    </row>
    <row r="997" spans="1:2">
      <c r="A997">
        <v>9.3899999999998442</v>
      </c>
      <c r="B997">
        <f t="shared" si="14"/>
        <v>9.9999999999997868E-3</v>
      </c>
    </row>
    <row r="998" spans="1:2">
      <c r="A998">
        <v>9.399999999999844</v>
      </c>
      <c r="B998">
        <f t="shared" si="14"/>
        <v>9.9999999999997868E-3</v>
      </c>
    </row>
    <row r="999" spans="1:2">
      <c r="A999">
        <v>9.4099999999998438</v>
      </c>
      <c r="B999">
        <f t="shared" si="14"/>
        <v>9.9999999999997868E-3</v>
      </c>
    </row>
    <row r="1000" spans="1:2">
      <c r="A1000">
        <v>9.4199999999998436</v>
      </c>
      <c r="B1000">
        <f t="shared" si="14"/>
        <v>9.9999999999997868E-3</v>
      </c>
    </row>
    <row r="1001" spans="1:2">
      <c r="A1001">
        <v>9.4299999999998434</v>
      </c>
      <c r="B1001">
        <f t="shared" si="14"/>
        <v>9.9999999999997868E-3</v>
      </c>
    </row>
    <row r="1002" spans="1:2">
      <c r="A1002">
        <v>9.4399999999998432</v>
      </c>
      <c r="B1002">
        <f t="shared" ref="B1002:B1059" si="15">A1002-A1001</f>
        <v>9.9999999999997868E-3</v>
      </c>
    </row>
    <row r="1003" spans="1:2">
      <c r="A1003">
        <v>9.449999999999843</v>
      </c>
      <c r="B1003">
        <f t="shared" si="15"/>
        <v>9.9999999999997868E-3</v>
      </c>
    </row>
    <row r="1004" spans="1:2">
      <c r="A1004">
        <v>9.4599999999998428</v>
      </c>
      <c r="B1004">
        <f t="shared" si="15"/>
        <v>9.9999999999997868E-3</v>
      </c>
    </row>
    <row r="1005" spans="1:2">
      <c r="A1005">
        <v>9.4699999999998425</v>
      </c>
      <c r="B1005">
        <f t="shared" si="15"/>
        <v>9.9999999999997868E-3</v>
      </c>
    </row>
    <row r="1006" spans="1:2">
      <c r="A1006">
        <v>9.4799999999998423</v>
      </c>
      <c r="B1006">
        <f t="shared" si="15"/>
        <v>9.9999999999997868E-3</v>
      </c>
    </row>
    <row r="1007" spans="1:2">
      <c r="A1007">
        <v>9.4899999999998421</v>
      </c>
      <c r="B1007">
        <f t="shared" si="15"/>
        <v>9.9999999999997868E-3</v>
      </c>
    </row>
    <row r="1008" spans="1:2">
      <c r="A1008">
        <v>9.4999999999998419</v>
      </c>
      <c r="B1008">
        <f t="shared" si="15"/>
        <v>9.9999999999997868E-3</v>
      </c>
    </row>
    <row r="1009" spans="1:2">
      <c r="A1009">
        <v>9.5099999999998417</v>
      </c>
      <c r="B1009">
        <f t="shared" si="15"/>
        <v>9.9999999999997868E-3</v>
      </c>
    </row>
    <row r="1010" spans="1:2">
      <c r="A1010">
        <v>9.5199999999998415</v>
      </c>
      <c r="B1010">
        <f t="shared" si="15"/>
        <v>9.9999999999997868E-3</v>
      </c>
    </row>
    <row r="1011" spans="1:2">
      <c r="A1011">
        <v>9.5299999999998413</v>
      </c>
      <c r="B1011">
        <f t="shared" si="15"/>
        <v>9.9999999999997868E-3</v>
      </c>
    </row>
    <row r="1012" spans="1:2">
      <c r="A1012">
        <v>9.5399999999998411</v>
      </c>
      <c r="B1012">
        <f t="shared" si="15"/>
        <v>9.9999999999997868E-3</v>
      </c>
    </row>
    <row r="1013" spans="1:2">
      <c r="A1013">
        <v>9.5499999999998408</v>
      </c>
      <c r="B1013">
        <f t="shared" si="15"/>
        <v>9.9999999999997868E-3</v>
      </c>
    </row>
    <row r="1014" spans="1:2">
      <c r="A1014">
        <v>9.5599999999998406</v>
      </c>
      <c r="B1014">
        <f t="shared" si="15"/>
        <v>9.9999999999997868E-3</v>
      </c>
    </row>
    <row r="1015" spans="1:2">
      <c r="A1015">
        <v>9.5699999999998404</v>
      </c>
      <c r="B1015">
        <f t="shared" si="15"/>
        <v>9.9999999999997868E-3</v>
      </c>
    </row>
    <row r="1016" spans="1:2">
      <c r="A1016">
        <v>9.5799999999998402</v>
      </c>
      <c r="B1016">
        <f t="shared" si="15"/>
        <v>9.9999999999997868E-3</v>
      </c>
    </row>
    <row r="1017" spans="1:2">
      <c r="A1017">
        <v>9.58999999999984</v>
      </c>
      <c r="B1017">
        <f t="shared" si="15"/>
        <v>9.9999999999997868E-3</v>
      </c>
    </row>
    <row r="1018" spans="1:2">
      <c r="A1018">
        <v>9.5999999999998398</v>
      </c>
      <c r="B1018">
        <f t="shared" si="15"/>
        <v>9.9999999999997868E-3</v>
      </c>
    </row>
    <row r="1019" spans="1:2">
      <c r="A1019">
        <v>9.6099999999998396</v>
      </c>
      <c r="B1019">
        <f t="shared" si="15"/>
        <v>9.9999999999997868E-3</v>
      </c>
    </row>
    <row r="1020" spans="1:2">
      <c r="A1020">
        <v>9.6199999999998393</v>
      </c>
      <c r="B1020">
        <f t="shared" si="15"/>
        <v>9.9999999999997868E-3</v>
      </c>
    </row>
    <row r="1021" spans="1:2">
      <c r="A1021">
        <v>9.6299999999998391</v>
      </c>
      <c r="B1021">
        <f t="shared" si="15"/>
        <v>9.9999999999997868E-3</v>
      </c>
    </row>
    <row r="1022" spans="1:2">
      <c r="A1022">
        <v>9.6399999999998389</v>
      </c>
      <c r="B1022">
        <f t="shared" si="15"/>
        <v>9.9999999999997868E-3</v>
      </c>
    </row>
    <row r="1023" spans="1:2">
      <c r="A1023">
        <v>9.6499999999998387</v>
      </c>
      <c r="B1023">
        <f t="shared" si="15"/>
        <v>9.9999999999997868E-3</v>
      </c>
    </row>
    <row r="1024" spans="1:2">
      <c r="A1024">
        <v>9.6599999999998385</v>
      </c>
      <c r="B1024">
        <f t="shared" si="15"/>
        <v>9.9999999999997868E-3</v>
      </c>
    </row>
    <row r="1025" spans="1:2">
      <c r="A1025">
        <v>9.6699999999998383</v>
      </c>
      <c r="B1025">
        <f t="shared" si="15"/>
        <v>9.9999999999997868E-3</v>
      </c>
    </row>
    <row r="1026" spans="1:2">
      <c r="A1026">
        <v>9.6799999999998381</v>
      </c>
      <c r="B1026">
        <f t="shared" si="15"/>
        <v>9.9999999999997868E-3</v>
      </c>
    </row>
    <row r="1027" spans="1:2">
      <c r="A1027">
        <v>9.6899999999998379</v>
      </c>
      <c r="B1027">
        <f t="shared" si="15"/>
        <v>9.9999999999997868E-3</v>
      </c>
    </row>
    <row r="1028" spans="1:2">
      <c r="A1028">
        <v>9.6999999999998376</v>
      </c>
      <c r="B1028">
        <f t="shared" si="15"/>
        <v>9.9999999999997868E-3</v>
      </c>
    </row>
    <row r="1029" spans="1:2">
      <c r="A1029">
        <v>9.7099999999998374</v>
      </c>
      <c r="B1029">
        <f t="shared" si="15"/>
        <v>9.9999999999997868E-3</v>
      </c>
    </row>
    <row r="1030" spans="1:2">
      <c r="A1030">
        <v>9.7199999999998372</v>
      </c>
      <c r="B1030">
        <f t="shared" si="15"/>
        <v>9.9999999999997868E-3</v>
      </c>
    </row>
    <row r="1031" spans="1:2">
      <c r="A1031">
        <v>9.729999999999837</v>
      </c>
      <c r="B1031">
        <f t="shared" si="15"/>
        <v>9.9999999999997868E-3</v>
      </c>
    </row>
    <row r="1032" spans="1:2">
      <c r="A1032">
        <v>9.7399999999998368</v>
      </c>
      <c r="B1032">
        <f t="shared" si="15"/>
        <v>9.9999999999997868E-3</v>
      </c>
    </row>
    <row r="1033" spans="1:2">
      <c r="A1033">
        <v>9.7499999999998366</v>
      </c>
      <c r="B1033">
        <f t="shared" si="15"/>
        <v>9.9999999999997868E-3</v>
      </c>
    </row>
    <row r="1034" spans="1:2">
      <c r="A1034">
        <v>9.7599999999998364</v>
      </c>
      <c r="B1034">
        <f t="shared" si="15"/>
        <v>9.9999999999997868E-3</v>
      </c>
    </row>
    <row r="1035" spans="1:2">
      <c r="A1035">
        <v>9.7699999999998361</v>
      </c>
      <c r="B1035">
        <f t="shared" si="15"/>
        <v>9.9999999999997868E-3</v>
      </c>
    </row>
    <row r="1036" spans="1:2">
      <c r="A1036">
        <v>9.7799999999998359</v>
      </c>
      <c r="B1036">
        <f t="shared" si="15"/>
        <v>9.9999999999997868E-3</v>
      </c>
    </row>
    <row r="1037" spans="1:2">
      <c r="A1037">
        <v>9.7899999999998357</v>
      </c>
      <c r="B1037">
        <f t="shared" si="15"/>
        <v>9.9999999999997868E-3</v>
      </c>
    </row>
    <row r="1038" spans="1:2">
      <c r="A1038">
        <v>9.7999999999998355</v>
      </c>
      <c r="B1038">
        <f t="shared" si="15"/>
        <v>9.9999999999997868E-3</v>
      </c>
    </row>
    <row r="1039" spans="1:2">
      <c r="A1039">
        <v>9.8099999999998353</v>
      </c>
      <c r="B1039">
        <f t="shared" si="15"/>
        <v>9.9999999999997868E-3</v>
      </c>
    </row>
    <row r="1040" spans="1:2">
      <c r="A1040">
        <v>9.8199999999998351</v>
      </c>
      <c r="B1040">
        <f t="shared" si="15"/>
        <v>9.9999999999997868E-3</v>
      </c>
    </row>
    <row r="1041" spans="1:2">
      <c r="A1041">
        <v>9.8299999999998349</v>
      </c>
      <c r="B1041">
        <f t="shared" si="15"/>
        <v>9.9999999999997868E-3</v>
      </c>
    </row>
    <row r="1042" spans="1:2">
      <c r="A1042">
        <v>9.8399999999998347</v>
      </c>
      <c r="B1042">
        <f t="shared" si="15"/>
        <v>9.9999999999997868E-3</v>
      </c>
    </row>
    <row r="1043" spans="1:2">
      <c r="A1043">
        <v>9.8499999999998344</v>
      </c>
      <c r="B1043">
        <f t="shared" si="15"/>
        <v>9.9999999999997868E-3</v>
      </c>
    </row>
    <row r="1044" spans="1:2">
      <c r="A1044">
        <v>9.8599999999998342</v>
      </c>
      <c r="B1044">
        <f t="shared" si="15"/>
        <v>9.9999999999997868E-3</v>
      </c>
    </row>
    <row r="1045" spans="1:2">
      <c r="A1045">
        <v>9.869999999999834</v>
      </c>
      <c r="B1045">
        <f t="shared" si="15"/>
        <v>9.9999999999997868E-3</v>
      </c>
    </row>
    <row r="1046" spans="1:2">
      <c r="A1046">
        <v>9.8799999999998338</v>
      </c>
      <c r="B1046">
        <f t="shared" si="15"/>
        <v>9.9999999999997868E-3</v>
      </c>
    </row>
    <row r="1047" spans="1:2">
      <c r="A1047">
        <v>9.8899999999998336</v>
      </c>
      <c r="B1047">
        <f t="shared" si="15"/>
        <v>9.9999999999997868E-3</v>
      </c>
    </row>
    <row r="1048" spans="1:2">
      <c r="A1048">
        <v>9.8999999999998334</v>
      </c>
      <c r="B1048">
        <f t="shared" si="15"/>
        <v>9.9999999999997868E-3</v>
      </c>
    </row>
    <row r="1049" spans="1:2">
      <c r="A1049">
        <v>9.9099999999998332</v>
      </c>
      <c r="B1049">
        <f t="shared" si="15"/>
        <v>9.9999999999997868E-3</v>
      </c>
    </row>
    <row r="1050" spans="1:2">
      <c r="A1050">
        <v>9.919999999999833</v>
      </c>
      <c r="B1050">
        <f t="shared" si="15"/>
        <v>9.9999999999997868E-3</v>
      </c>
    </row>
    <row r="1051" spans="1:2">
      <c r="A1051">
        <v>9.9299999999998327</v>
      </c>
      <c r="B1051">
        <f t="shared" si="15"/>
        <v>9.9999999999997868E-3</v>
      </c>
    </row>
    <row r="1052" spans="1:2">
      <c r="A1052">
        <v>9.9399999999998325</v>
      </c>
      <c r="B1052">
        <f t="shared" si="15"/>
        <v>9.9999999999997868E-3</v>
      </c>
    </row>
    <row r="1053" spans="1:2">
      <c r="A1053">
        <v>9.9499999999998323</v>
      </c>
      <c r="B1053">
        <f t="shared" si="15"/>
        <v>9.9999999999997868E-3</v>
      </c>
    </row>
    <row r="1054" spans="1:2">
      <c r="A1054">
        <v>9.9599999999998321</v>
      </c>
      <c r="B1054">
        <f t="shared" si="15"/>
        <v>9.9999999999997868E-3</v>
      </c>
    </row>
    <row r="1055" spans="1:2">
      <c r="A1055">
        <v>9.9699999999998319</v>
      </c>
      <c r="B1055">
        <f t="shared" si="15"/>
        <v>9.9999999999997868E-3</v>
      </c>
    </row>
    <row r="1056" spans="1:2">
      <c r="A1056">
        <v>9.9799999999998317</v>
      </c>
      <c r="B1056">
        <f t="shared" si="15"/>
        <v>9.9999999999997868E-3</v>
      </c>
    </row>
    <row r="1057" spans="1:2">
      <c r="A1057">
        <v>9.9899999999998315</v>
      </c>
      <c r="B1057">
        <f t="shared" si="15"/>
        <v>9.9999999999997868E-3</v>
      </c>
    </row>
    <row r="1058" spans="1:2">
      <c r="A1058">
        <v>9.9999999999998312</v>
      </c>
      <c r="B1058">
        <f t="shared" si="15"/>
        <v>9.9999999999997868E-3</v>
      </c>
    </row>
    <row r="1059" spans="1:2">
      <c r="A1059">
        <v>10.009999999999831</v>
      </c>
      <c r="B1059">
        <f t="shared" si="15"/>
        <v>9.9999999999997868E-3</v>
      </c>
    </row>
  </sheetData>
  <mergeCells count="11">
    <mergeCell ref="A1:B1"/>
    <mergeCell ref="B3:B4"/>
    <mergeCell ref="D3:J4"/>
    <mergeCell ref="M34:P34"/>
    <mergeCell ref="B29:F29"/>
    <mergeCell ref="A57:D57"/>
    <mergeCell ref="E57:H57"/>
    <mergeCell ref="I57:L57"/>
    <mergeCell ref="A34:D34"/>
    <mergeCell ref="E34:H34"/>
    <mergeCell ref="I34:L34"/>
  </mergeCells>
  <pageMargins left="0.7" right="0.7" top="0.75" bottom="0.75" header="0.3" footer="0.3"/>
  <pageSetup paperSize="9" orientation="portrait" horizontalDpi="0" verticalDpi="0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</xdr:col>
                <xdr:colOff>47625</xdr:colOff>
                <xdr:row>29</xdr:row>
                <xdr:rowOff>38100</xdr:rowOff>
              </from>
              <to>
                <xdr:col>2</xdr:col>
                <xdr:colOff>885825</xdr:colOff>
                <xdr:row>31</xdr:row>
                <xdr:rowOff>123825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4"/>
  <sheetViews>
    <sheetView workbookViewId="0">
      <selection activeCell="C16" sqref="C16"/>
    </sheetView>
  </sheetViews>
  <sheetFormatPr defaultColWidth="8.85546875" defaultRowHeight="15"/>
  <cols>
    <col min="1" max="1" width="26" customWidth="1"/>
    <col min="2" max="2" width="17.85546875" customWidth="1"/>
    <col min="3" max="3" width="18.28515625" customWidth="1"/>
    <col min="4" max="4" width="19.28515625" customWidth="1"/>
    <col min="5" max="5" width="18.7109375" customWidth="1"/>
  </cols>
  <sheetData>
    <row r="1" spans="1:10">
      <c r="A1" s="79" t="s">
        <v>144</v>
      </c>
    </row>
    <row r="3" spans="1:10">
      <c r="B3" s="151" t="s">
        <v>55</v>
      </c>
      <c r="C3" s="48" t="s">
        <v>56</v>
      </c>
      <c r="D3" s="168" t="s">
        <v>107</v>
      </c>
      <c r="E3" s="169"/>
      <c r="F3" s="169"/>
      <c r="G3" s="169"/>
      <c r="H3" s="169"/>
      <c r="I3" s="169"/>
      <c r="J3" s="169"/>
    </row>
    <row r="4" spans="1:10">
      <c r="B4" s="151"/>
      <c r="C4" s="37" t="s">
        <v>63</v>
      </c>
      <c r="D4" s="169"/>
      <c r="E4" s="169"/>
      <c r="F4" s="169"/>
      <c r="G4" s="169"/>
      <c r="H4" s="169"/>
      <c r="I4" s="169"/>
      <c r="J4" s="169"/>
    </row>
    <row r="6" spans="1:10">
      <c r="A6" s="78" t="s">
        <v>108</v>
      </c>
    </row>
    <row r="7" spans="1:10" ht="20.25" thickBot="1">
      <c r="B7" s="27" t="s">
        <v>34</v>
      </c>
      <c r="C7" s="25" t="s">
        <v>38</v>
      </c>
      <c r="D7" s="25" t="s">
        <v>39</v>
      </c>
      <c r="E7" s="25" t="s">
        <v>40</v>
      </c>
    </row>
    <row r="8" spans="1:10" ht="20.25" thickTop="1">
      <c r="B8" s="28" t="s">
        <v>35</v>
      </c>
      <c r="C8" s="26" t="s">
        <v>36</v>
      </c>
      <c r="D8" s="26" t="s">
        <v>36</v>
      </c>
      <c r="E8" s="26" t="s">
        <v>37</v>
      </c>
    </row>
    <row r="9" spans="1:10" ht="19.5">
      <c r="B9" s="23" t="s">
        <v>33</v>
      </c>
      <c r="C9" s="24">
        <v>1.3080000000000001</v>
      </c>
      <c r="D9" s="24">
        <v>1.29</v>
      </c>
      <c r="E9" s="24">
        <v>110.88</v>
      </c>
    </row>
    <row r="10" spans="1:10" ht="19.5">
      <c r="B10" s="88" t="s">
        <v>25</v>
      </c>
      <c r="C10" s="22">
        <v>1.2010000000000001</v>
      </c>
      <c r="D10" s="22">
        <v>1.3320000000000001</v>
      </c>
      <c r="E10" s="22">
        <v>104.35</v>
      </c>
    </row>
    <row r="14" spans="1:10" ht="18" customHeight="1"/>
  </sheetData>
  <mergeCells count="2">
    <mergeCell ref="B3:B4"/>
    <mergeCell ref="D3:J4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8433" r:id="rId4" name="CommandButton1">
          <controlPr defaultSize="0" autoLine="0" r:id="rId5">
            <anchor moveWithCells="1">
              <from>
                <xdr:col>1</xdr:col>
                <xdr:colOff>123825</xdr:colOff>
                <xdr:row>11</xdr:row>
                <xdr:rowOff>57150</xdr:rowOff>
              </from>
              <to>
                <xdr:col>2</xdr:col>
                <xdr:colOff>1123950</xdr:colOff>
                <xdr:row>13</xdr:row>
                <xdr:rowOff>161925</xdr:rowOff>
              </to>
            </anchor>
          </controlPr>
        </control>
      </mc:Choice>
      <mc:Fallback>
        <control shapeId="1843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E12"/>
  <sheetViews>
    <sheetView workbookViewId="0">
      <selection activeCell="D28" sqref="D28"/>
    </sheetView>
  </sheetViews>
  <sheetFormatPr defaultColWidth="8.85546875" defaultRowHeight="15"/>
  <cols>
    <col min="1" max="1" width="13.5703125" customWidth="1"/>
    <col min="2" max="2" width="22.42578125" customWidth="1"/>
    <col min="3" max="3" width="16.5703125" customWidth="1"/>
  </cols>
  <sheetData>
    <row r="3" spans="1:5" ht="17.25" thickBot="1">
      <c r="A3" s="17" t="s">
        <v>30</v>
      </c>
      <c r="B3" s="17" t="s">
        <v>31</v>
      </c>
      <c r="C3" s="7" t="s">
        <v>32</v>
      </c>
    </row>
    <row r="4" spans="1:5" ht="15.75" thickTop="1">
      <c r="A4" s="15">
        <v>0.2</v>
      </c>
      <c r="B4" s="15">
        <v>0.16200000000000001</v>
      </c>
      <c r="C4" s="12">
        <v>0.161</v>
      </c>
      <c r="D4">
        <f>(B4/C4)*100</f>
        <v>100.62111801242236</v>
      </c>
    </row>
    <row r="5" spans="1:5">
      <c r="A5" s="14">
        <v>0.6</v>
      </c>
      <c r="B5" s="14">
        <v>0.191</v>
      </c>
      <c r="C5" s="13">
        <v>0.18</v>
      </c>
      <c r="D5">
        <f>(B5/C5)*100</f>
        <v>106.11111111111111</v>
      </c>
    </row>
    <row r="8" spans="1:5">
      <c r="A8" t="s">
        <v>45</v>
      </c>
    </row>
    <row r="9" spans="1:5">
      <c r="A9">
        <f>1.43/0.39</f>
        <v>3.6666666666666665</v>
      </c>
      <c r="B9">
        <f>1.43/0.4</f>
        <v>3.5749999999999997</v>
      </c>
      <c r="C9">
        <f>(0.19*19.6)/0.39</f>
        <v>9.5487179487179485</v>
      </c>
      <c r="D9">
        <f>(0.19*19.6)/0.4</f>
        <v>9.31</v>
      </c>
      <c r="E9">
        <f>SUM(A9:D9)</f>
        <v>26.100384615384613</v>
      </c>
    </row>
    <row r="11" spans="1:5">
      <c r="A11">
        <f>0.19*19.6</f>
        <v>3.7240000000000002</v>
      </c>
      <c r="B11">
        <f>B12*19.6</f>
        <v>11.76</v>
      </c>
      <c r="C11">
        <f>0.39*26.1</f>
        <v>10.179</v>
      </c>
      <c r="D11">
        <f>A11+B11-C11</f>
        <v>5.3049999999999997</v>
      </c>
      <c r="E11">
        <f>D11/0.79</f>
        <v>6.7151898734177209</v>
      </c>
    </row>
    <row r="12" spans="1:5">
      <c r="B12">
        <f>0.39+0.21</f>
        <v>0.6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19"/>
  <sheetViews>
    <sheetView workbookViewId="0">
      <selection activeCell="I37" sqref="I37"/>
    </sheetView>
  </sheetViews>
  <sheetFormatPr defaultColWidth="13" defaultRowHeight="15"/>
  <sheetData>
    <row r="1" spans="1:5">
      <c r="A1" t="s">
        <v>41</v>
      </c>
      <c r="B1" t="s">
        <v>46</v>
      </c>
      <c r="C1" t="s">
        <v>43</v>
      </c>
    </row>
    <row r="2" spans="1:5">
      <c r="B2">
        <v>-6.38</v>
      </c>
      <c r="C2">
        <v>0</v>
      </c>
    </row>
    <row r="3" spans="1:5">
      <c r="B3">
        <v>13.22</v>
      </c>
      <c r="C3">
        <v>-3.7240000000000002</v>
      </c>
    </row>
    <row r="4" spans="1:5">
      <c r="B4">
        <v>-12.88</v>
      </c>
      <c r="C4">
        <v>6.4550000000000001</v>
      </c>
    </row>
    <row r="5" spans="1:5">
      <c r="B5">
        <v>6.72</v>
      </c>
      <c r="C5">
        <v>-5.3049999999999997</v>
      </c>
    </row>
    <row r="7" spans="1:5">
      <c r="B7" t="s">
        <v>42</v>
      </c>
      <c r="C7" t="s">
        <v>44</v>
      </c>
      <c r="D7" t="s">
        <v>42</v>
      </c>
      <c r="E7" t="s">
        <v>44</v>
      </c>
    </row>
    <row r="8" spans="1:5">
      <c r="B8">
        <v>0</v>
      </c>
      <c r="C8">
        <v>0</v>
      </c>
      <c r="D8">
        <v>0</v>
      </c>
      <c r="E8">
        <f>$B$2*D8+$C$2</f>
        <v>0</v>
      </c>
    </row>
    <row r="9" spans="1:5">
      <c r="B9">
        <v>2E-3</v>
      </c>
      <c r="C9">
        <f t="shared" ref="C9:C12" si="0">$B$2</f>
        <v>-6.38</v>
      </c>
      <c r="D9">
        <v>2E-3</v>
      </c>
      <c r="E9">
        <f t="shared" ref="E9:E35" si="1">$B$2*D9+$C$2</f>
        <v>-1.2760000000000001E-2</v>
      </c>
    </row>
    <row r="10" spans="1:5">
      <c r="B10">
        <v>4.0000000000000001E-3</v>
      </c>
      <c r="C10">
        <f t="shared" si="0"/>
        <v>-6.38</v>
      </c>
      <c r="D10">
        <v>4.0000000000000001E-3</v>
      </c>
      <c r="E10">
        <f t="shared" si="1"/>
        <v>-2.5520000000000001E-2</v>
      </c>
    </row>
    <row r="11" spans="1:5">
      <c r="B11">
        <v>6.0000000000000001E-3</v>
      </c>
      <c r="C11">
        <f t="shared" si="0"/>
        <v>-6.38</v>
      </c>
      <c r="D11">
        <v>6.0000000000000001E-3</v>
      </c>
      <c r="E11">
        <f t="shared" si="1"/>
        <v>-3.8280000000000002E-2</v>
      </c>
    </row>
    <row r="12" spans="1:5">
      <c r="B12">
        <v>8.0000000000000002E-3</v>
      </c>
      <c r="C12">
        <f t="shared" si="0"/>
        <v>-6.38</v>
      </c>
      <c r="D12">
        <v>8.0000000000000002E-3</v>
      </c>
      <c r="E12">
        <f t="shared" si="1"/>
        <v>-5.1040000000000002E-2</v>
      </c>
    </row>
    <row r="13" spans="1:5">
      <c r="B13">
        <v>0.01</v>
      </c>
      <c r="C13">
        <f t="shared" ref="C13:C34" si="2">$B$2</f>
        <v>-6.38</v>
      </c>
      <c r="D13">
        <v>0.01</v>
      </c>
      <c r="E13">
        <f t="shared" si="1"/>
        <v>-6.3799999999999996E-2</v>
      </c>
    </row>
    <row r="14" spans="1:5">
      <c r="B14">
        <v>0.02</v>
      </c>
      <c r="C14">
        <f t="shared" si="2"/>
        <v>-6.38</v>
      </c>
      <c r="D14">
        <v>0.02</v>
      </c>
      <c r="E14">
        <f t="shared" si="1"/>
        <v>-0.12759999999999999</v>
      </c>
    </row>
    <row r="15" spans="1:5">
      <c r="B15">
        <v>0.03</v>
      </c>
      <c r="C15">
        <f t="shared" si="2"/>
        <v>-6.38</v>
      </c>
      <c r="D15">
        <v>0.03</v>
      </c>
      <c r="E15">
        <f t="shared" si="1"/>
        <v>-0.19139999999999999</v>
      </c>
    </row>
    <row r="16" spans="1:5">
      <c r="B16">
        <v>0.04</v>
      </c>
      <c r="C16">
        <f t="shared" si="2"/>
        <v>-6.38</v>
      </c>
      <c r="D16">
        <v>0.04</v>
      </c>
      <c r="E16">
        <f t="shared" si="1"/>
        <v>-0.25519999999999998</v>
      </c>
    </row>
    <row r="17" spans="2:5">
      <c r="B17">
        <v>0.05</v>
      </c>
      <c r="C17">
        <f t="shared" si="2"/>
        <v>-6.38</v>
      </c>
      <c r="D17">
        <v>0.05</v>
      </c>
      <c r="E17">
        <f t="shared" si="1"/>
        <v>-0.31900000000000001</v>
      </c>
    </row>
    <row r="18" spans="2:5">
      <c r="B18">
        <v>0.06</v>
      </c>
      <c r="C18">
        <f t="shared" si="2"/>
        <v>-6.38</v>
      </c>
      <c r="D18">
        <v>0.06</v>
      </c>
      <c r="E18">
        <f t="shared" si="1"/>
        <v>-0.38279999999999997</v>
      </c>
    </row>
    <row r="19" spans="2:5">
      <c r="B19">
        <v>7.0000000000000007E-2</v>
      </c>
      <c r="C19">
        <f t="shared" si="2"/>
        <v>-6.38</v>
      </c>
      <c r="D19">
        <v>7.0000000000000007E-2</v>
      </c>
      <c r="E19">
        <f t="shared" si="1"/>
        <v>-0.44660000000000005</v>
      </c>
    </row>
    <row r="20" spans="2:5">
      <c r="B20">
        <v>0.08</v>
      </c>
      <c r="C20">
        <f t="shared" si="2"/>
        <v>-6.38</v>
      </c>
      <c r="D20">
        <v>0.08</v>
      </c>
      <c r="E20">
        <f t="shared" si="1"/>
        <v>-0.51039999999999996</v>
      </c>
    </row>
    <row r="21" spans="2:5">
      <c r="B21">
        <v>0.09</v>
      </c>
      <c r="C21">
        <f t="shared" si="2"/>
        <v>-6.38</v>
      </c>
      <c r="D21">
        <v>0.09</v>
      </c>
      <c r="E21">
        <f t="shared" si="1"/>
        <v>-0.57419999999999993</v>
      </c>
    </row>
    <row r="22" spans="2:5">
      <c r="B22">
        <v>0.1</v>
      </c>
      <c r="C22">
        <f t="shared" si="2"/>
        <v>-6.38</v>
      </c>
      <c r="D22">
        <v>0.1</v>
      </c>
      <c r="E22">
        <f t="shared" si="1"/>
        <v>-0.63800000000000001</v>
      </c>
    </row>
    <row r="23" spans="2:5">
      <c r="B23">
        <v>0.11</v>
      </c>
      <c r="C23">
        <f t="shared" si="2"/>
        <v>-6.38</v>
      </c>
      <c r="D23">
        <v>0.11</v>
      </c>
      <c r="E23">
        <f t="shared" si="1"/>
        <v>-0.70179999999999998</v>
      </c>
    </row>
    <row r="24" spans="2:5">
      <c r="B24">
        <v>0.12</v>
      </c>
      <c r="C24">
        <f t="shared" si="2"/>
        <v>-6.38</v>
      </c>
      <c r="D24">
        <v>0.12</v>
      </c>
      <c r="E24">
        <f t="shared" si="1"/>
        <v>-0.76559999999999995</v>
      </c>
    </row>
    <row r="25" spans="2:5">
      <c r="B25">
        <v>0.13</v>
      </c>
      <c r="C25">
        <f t="shared" si="2"/>
        <v>-6.38</v>
      </c>
      <c r="D25">
        <v>0.13</v>
      </c>
      <c r="E25">
        <f t="shared" si="1"/>
        <v>-0.82940000000000003</v>
      </c>
    </row>
    <row r="26" spans="2:5">
      <c r="B26">
        <v>0.14000000000000001</v>
      </c>
      <c r="C26">
        <f t="shared" si="2"/>
        <v>-6.38</v>
      </c>
      <c r="D26">
        <v>0.14000000000000001</v>
      </c>
      <c r="E26">
        <f t="shared" si="1"/>
        <v>-0.8932000000000001</v>
      </c>
    </row>
    <row r="27" spans="2:5">
      <c r="B27">
        <v>0.15</v>
      </c>
      <c r="C27">
        <f t="shared" si="2"/>
        <v>-6.38</v>
      </c>
      <c r="D27">
        <v>0.15</v>
      </c>
      <c r="E27">
        <f t="shared" si="1"/>
        <v>-0.95699999999999996</v>
      </c>
    </row>
    <row r="28" spans="2:5">
      <c r="B28">
        <v>0.16</v>
      </c>
      <c r="C28">
        <f t="shared" si="2"/>
        <v>-6.38</v>
      </c>
      <c r="D28">
        <v>0.16</v>
      </c>
      <c r="E28">
        <f t="shared" si="1"/>
        <v>-1.0207999999999999</v>
      </c>
    </row>
    <row r="29" spans="2:5">
      <c r="B29">
        <v>0.17</v>
      </c>
      <c r="C29">
        <f t="shared" si="2"/>
        <v>-6.38</v>
      </c>
      <c r="D29">
        <v>0.17</v>
      </c>
      <c r="E29">
        <f t="shared" si="1"/>
        <v>-1.0846</v>
      </c>
    </row>
    <row r="30" spans="2:5">
      <c r="B30">
        <v>0.18</v>
      </c>
      <c r="C30">
        <f t="shared" si="2"/>
        <v>-6.38</v>
      </c>
      <c r="D30">
        <v>0.18</v>
      </c>
      <c r="E30">
        <f t="shared" si="1"/>
        <v>-1.1483999999999999</v>
      </c>
    </row>
    <row r="31" spans="2:5">
      <c r="B31">
        <v>0.182</v>
      </c>
      <c r="C31">
        <f t="shared" si="2"/>
        <v>-6.38</v>
      </c>
      <c r="D31">
        <v>0.182</v>
      </c>
      <c r="E31">
        <f t="shared" si="1"/>
        <v>-1.16116</v>
      </c>
    </row>
    <row r="32" spans="2:5">
      <c r="B32">
        <v>0.184</v>
      </c>
      <c r="C32">
        <f t="shared" si="2"/>
        <v>-6.38</v>
      </c>
      <c r="D32">
        <v>0.184</v>
      </c>
      <c r="E32">
        <f t="shared" si="1"/>
        <v>-1.1739199999999999</v>
      </c>
    </row>
    <row r="33" spans="1:5">
      <c r="B33">
        <v>0.186</v>
      </c>
      <c r="C33">
        <f t="shared" si="2"/>
        <v>-6.38</v>
      </c>
      <c r="D33">
        <v>0.186</v>
      </c>
      <c r="E33">
        <f t="shared" si="1"/>
        <v>-1.18668</v>
      </c>
    </row>
    <row r="34" spans="1:5">
      <c r="A34" t="s">
        <v>47</v>
      </c>
      <c r="B34">
        <v>0.188</v>
      </c>
      <c r="C34">
        <f t="shared" si="2"/>
        <v>-6.38</v>
      </c>
      <c r="D34">
        <v>0.188</v>
      </c>
      <c r="E34">
        <f t="shared" si="1"/>
        <v>-1.1994400000000001</v>
      </c>
    </row>
    <row r="35" spans="1:5">
      <c r="B35">
        <v>0.19</v>
      </c>
      <c r="C35">
        <v>0</v>
      </c>
      <c r="D35">
        <v>0.19</v>
      </c>
      <c r="E35">
        <f t="shared" si="1"/>
        <v>-1.2121999999999999</v>
      </c>
    </row>
    <row r="36" spans="1:5">
      <c r="B36">
        <v>0.192</v>
      </c>
      <c r="C36">
        <f t="shared" ref="C36:C39" si="3">$B$3</f>
        <v>13.22</v>
      </c>
      <c r="D36">
        <v>0.192</v>
      </c>
      <c r="E36">
        <f>$B$3*D36+$C$3</f>
        <v>-1.1857600000000001</v>
      </c>
    </row>
    <row r="37" spans="1:5">
      <c r="B37">
        <v>0.19400000000000001</v>
      </c>
      <c r="C37">
        <f t="shared" si="3"/>
        <v>13.22</v>
      </c>
      <c r="D37">
        <v>0.19400000000000001</v>
      </c>
      <c r="E37">
        <f t="shared" ref="E37:E63" si="4">$B$3*D37+$C$3</f>
        <v>-1.1593200000000001</v>
      </c>
    </row>
    <row r="38" spans="1:5">
      <c r="B38">
        <v>0.19600000000000001</v>
      </c>
      <c r="C38">
        <f t="shared" si="3"/>
        <v>13.22</v>
      </c>
      <c r="D38">
        <v>0.19600000000000001</v>
      </c>
      <c r="E38">
        <f t="shared" si="4"/>
        <v>-1.1328800000000001</v>
      </c>
    </row>
    <row r="39" spans="1:5">
      <c r="B39">
        <v>0.19800000000000001</v>
      </c>
      <c r="C39">
        <f t="shared" si="3"/>
        <v>13.22</v>
      </c>
      <c r="D39">
        <v>0.19800000000000001</v>
      </c>
      <c r="E39">
        <f t="shared" si="4"/>
        <v>-1.1064400000000001</v>
      </c>
    </row>
    <row r="40" spans="1:5">
      <c r="B40">
        <v>0.2</v>
      </c>
      <c r="C40">
        <f>$B$3</f>
        <v>13.22</v>
      </c>
      <c r="D40">
        <v>0.2</v>
      </c>
      <c r="E40">
        <f t="shared" si="4"/>
        <v>-1.08</v>
      </c>
    </row>
    <row r="41" spans="1:5">
      <c r="B41">
        <v>0.21</v>
      </c>
      <c r="C41">
        <f t="shared" ref="C41:C62" si="5">$B$3</f>
        <v>13.22</v>
      </c>
      <c r="D41">
        <v>0.21</v>
      </c>
      <c r="E41">
        <f t="shared" si="4"/>
        <v>-0.94779999999999998</v>
      </c>
    </row>
    <row r="42" spans="1:5">
      <c r="B42">
        <v>0.22</v>
      </c>
      <c r="C42">
        <f t="shared" si="5"/>
        <v>13.22</v>
      </c>
      <c r="D42">
        <v>0.22</v>
      </c>
      <c r="E42">
        <f t="shared" si="4"/>
        <v>-0.81559999999999988</v>
      </c>
    </row>
    <row r="43" spans="1:5">
      <c r="B43">
        <v>0.23</v>
      </c>
      <c r="C43">
        <f t="shared" si="5"/>
        <v>13.22</v>
      </c>
      <c r="D43">
        <v>0.23</v>
      </c>
      <c r="E43">
        <f t="shared" si="4"/>
        <v>-0.68339999999999979</v>
      </c>
    </row>
    <row r="44" spans="1:5">
      <c r="B44">
        <v>0.24</v>
      </c>
      <c r="C44">
        <f t="shared" si="5"/>
        <v>13.22</v>
      </c>
      <c r="D44">
        <v>0.24</v>
      </c>
      <c r="E44">
        <f t="shared" si="4"/>
        <v>-0.55120000000000013</v>
      </c>
    </row>
    <row r="45" spans="1:5">
      <c r="B45">
        <v>0.25</v>
      </c>
      <c r="C45">
        <f t="shared" si="5"/>
        <v>13.22</v>
      </c>
      <c r="D45">
        <v>0.25</v>
      </c>
      <c r="E45">
        <f t="shared" si="4"/>
        <v>-0.41900000000000004</v>
      </c>
    </row>
    <row r="46" spans="1:5">
      <c r="B46">
        <v>0.26</v>
      </c>
      <c r="C46">
        <f t="shared" si="5"/>
        <v>13.22</v>
      </c>
      <c r="D46">
        <v>0.26</v>
      </c>
      <c r="E46">
        <f t="shared" si="4"/>
        <v>-0.28679999999999994</v>
      </c>
    </row>
    <row r="47" spans="1:5">
      <c r="B47">
        <v>0.27</v>
      </c>
      <c r="C47">
        <f t="shared" si="5"/>
        <v>13.22</v>
      </c>
      <c r="D47">
        <v>0.27</v>
      </c>
      <c r="E47">
        <f t="shared" si="4"/>
        <v>-0.15459999999999985</v>
      </c>
    </row>
    <row r="48" spans="1:5">
      <c r="B48">
        <v>0.28000000000000003</v>
      </c>
      <c r="C48">
        <f t="shared" si="5"/>
        <v>13.22</v>
      </c>
      <c r="D48">
        <v>0.28000000000000003</v>
      </c>
      <c r="E48">
        <f t="shared" si="4"/>
        <v>-2.2399999999999753E-2</v>
      </c>
    </row>
    <row r="49" spans="2:5">
      <c r="B49">
        <v>0.28999999999999998</v>
      </c>
      <c r="C49">
        <f t="shared" si="5"/>
        <v>13.22</v>
      </c>
      <c r="D49">
        <v>0.28999999999999998</v>
      </c>
      <c r="E49">
        <f t="shared" si="4"/>
        <v>0.1097999999999999</v>
      </c>
    </row>
    <row r="50" spans="2:5">
      <c r="B50">
        <v>0.3</v>
      </c>
      <c r="C50">
        <f t="shared" si="5"/>
        <v>13.22</v>
      </c>
      <c r="D50">
        <v>0.3</v>
      </c>
      <c r="E50">
        <f t="shared" si="4"/>
        <v>0.24199999999999999</v>
      </c>
    </row>
    <row r="51" spans="2:5">
      <c r="B51">
        <v>0.31</v>
      </c>
      <c r="C51">
        <f t="shared" si="5"/>
        <v>13.22</v>
      </c>
      <c r="D51">
        <v>0.31</v>
      </c>
      <c r="E51">
        <f t="shared" si="4"/>
        <v>0.37420000000000009</v>
      </c>
    </row>
    <row r="52" spans="2:5">
      <c r="B52">
        <v>0.32</v>
      </c>
      <c r="C52">
        <f t="shared" si="5"/>
        <v>13.22</v>
      </c>
      <c r="D52">
        <v>0.32</v>
      </c>
      <c r="E52">
        <f t="shared" si="4"/>
        <v>0.50640000000000018</v>
      </c>
    </row>
    <row r="53" spans="2:5">
      <c r="B53">
        <v>0.33</v>
      </c>
      <c r="C53">
        <f t="shared" si="5"/>
        <v>13.22</v>
      </c>
      <c r="D53">
        <v>0.33</v>
      </c>
      <c r="E53">
        <f t="shared" si="4"/>
        <v>0.63860000000000028</v>
      </c>
    </row>
    <row r="54" spans="2:5">
      <c r="B54">
        <v>0.34</v>
      </c>
      <c r="C54">
        <f t="shared" si="5"/>
        <v>13.22</v>
      </c>
      <c r="D54">
        <v>0.34</v>
      </c>
      <c r="E54">
        <f t="shared" si="4"/>
        <v>0.77080000000000037</v>
      </c>
    </row>
    <row r="55" spans="2:5">
      <c r="B55">
        <v>0.35</v>
      </c>
      <c r="C55">
        <f t="shared" si="5"/>
        <v>13.22</v>
      </c>
      <c r="D55">
        <v>0.35</v>
      </c>
      <c r="E55">
        <f t="shared" si="4"/>
        <v>0.90299999999999958</v>
      </c>
    </row>
    <row r="56" spans="2:5">
      <c r="B56">
        <v>0.36</v>
      </c>
      <c r="C56">
        <f t="shared" si="5"/>
        <v>13.22</v>
      </c>
      <c r="D56">
        <v>0.36</v>
      </c>
      <c r="E56">
        <f t="shared" si="4"/>
        <v>1.0351999999999997</v>
      </c>
    </row>
    <row r="57" spans="2:5">
      <c r="B57">
        <v>0.37</v>
      </c>
      <c r="C57">
        <f t="shared" si="5"/>
        <v>13.22</v>
      </c>
      <c r="D57">
        <v>0.37</v>
      </c>
      <c r="E57">
        <f t="shared" si="4"/>
        <v>1.1673999999999998</v>
      </c>
    </row>
    <row r="58" spans="2:5">
      <c r="B58">
        <v>0.38</v>
      </c>
      <c r="C58">
        <f t="shared" si="5"/>
        <v>13.22</v>
      </c>
      <c r="D58">
        <v>0.38</v>
      </c>
      <c r="E58">
        <f t="shared" si="4"/>
        <v>1.2995999999999999</v>
      </c>
    </row>
    <row r="59" spans="2:5">
      <c r="B59">
        <v>0.38200000000000001</v>
      </c>
      <c r="C59">
        <f t="shared" si="5"/>
        <v>13.22</v>
      </c>
      <c r="D59">
        <v>0.38200000000000001</v>
      </c>
      <c r="E59">
        <f t="shared" si="4"/>
        <v>1.3260399999999999</v>
      </c>
    </row>
    <row r="60" spans="2:5">
      <c r="B60">
        <v>0.38400000000000001</v>
      </c>
      <c r="C60">
        <f t="shared" si="5"/>
        <v>13.22</v>
      </c>
      <c r="D60">
        <v>0.38400000000000001</v>
      </c>
      <c r="E60">
        <f t="shared" si="4"/>
        <v>1.3524799999999999</v>
      </c>
    </row>
    <row r="61" spans="2:5">
      <c r="B61">
        <v>0.38600000000000001</v>
      </c>
      <c r="C61">
        <f t="shared" si="5"/>
        <v>13.22</v>
      </c>
      <c r="D61">
        <v>0.38600000000000001</v>
      </c>
      <c r="E61">
        <f t="shared" si="4"/>
        <v>1.3789199999999999</v>
      </c>
    </row>
    <row r="62" spans="2:5">
      <c r="B62">
        <v>0.38800000000000001</v>
      </c>
      <c r="C62">
        <f t="shared" si="5"/>
        <v>13.22</v>
      </c>
      <c r="D62">
        <v>0.38800000000000001</v>
      </c>
      <c r="E62">
        <f t="shared" si="4"/>
        <v>1.4053599999999999</v>
      </c>
    </row>
    <row r="63" spans="2:5">
      <c r="B63">
        <v>0.39</v>
      </c>
      <c r="C63">
        <v>0</v>
      </c>
      <c r="D63">
        <v>0.39</v>
      </c>
      <c r="E63">
        <f t="shared" si="4"/>
        <v>1.4318</v>
      </c>
    </row>
    <row r="64" spans="2:5">
      <c r="B64">
        <v>0.39200000000000002</v>
      </c>
      <c r="C64">
        <f t="shared" ref="C64:C67" si="6">$B$4</f>
        <v>-12.88</v>
      </c>
      <c r="D64">
        <v>0.39200000000000002</v>
      </c>
      <c r="E64">
        <f>$B$4*D64+$C$4</f>
        <v>1.40604</v>
      </c>
    </row>
    <row r="65" spans="2:5">
      <c r="B65">
        <v>0.39400000000000002</v>
      </c>
      <c r="C65">
        <f t="shared" si="6"/>
        <v>-12.88</v>
      </c>
      <c r="D65">
        <v>0.39400000000000002</v>
      </c>
      <c r="E65">
        <f t="shared" ref="E65:E92" si="7">$B$4*D65+$C$4</f>
        <v>1.38028</v>
      </c>
    </row>
    <row r="66" spans="2:5">
      <c r="B66">
        <v>0.39600000000000002</v>
      </c>
      <c r="C66">
        <f t="shared" si="6"/>
        <v>-12.88</v>
      </c>
      <c r="D66">
        <v>0.39600000000000002</v>
      </c>
      <c r="E66">
        <f t="shared" si="7"/>
        <v>1.3545199999999999</v>
      </c>
    </row>
    <row r="67" spans="2:5">
      <c r="B67">
        <v>0.39800000000000002</v>
      </c>
      <c r="C67">
        <f t="shared" si="6"/>
        <v>-12.88</v>
      </c>
      <c r="D67">
        <v>0.39800000000000002</v>
      </c>
      <c r="E67">
        <f t="shared" si="7"/>
        <v>1.3287599999999991</v>
      </c>
    </row>
    <row r="68" spans="2:5">
      <c r="B68">
        <v>0.4</v>
      </c>
      <c r="C68">
        <f>$B$4</f>
        <v>-12.88</v>
      </c>
      <c r="D68">
        <v>0.4</v>
      </c>
      <c r="E68">
        <f t="shared" si="7"/>
        <v>1.302999999999999</v>
      </c>
    </row>
    <row r="69" spans="2:5">
      <c r="B69">
        <v>0.41</v>
      </c>
      <c r="C69">
        <f t="shared" ref="C69:C91" si="8">$B$4</f>
        <v>-12.88</v>
      </c>
      <c r="D69">
        <v>0.41</v>
      </c>
      <c r="E69">
        <f t="shared" si="7"/>
        <v>1.1741999999999999</v>
      </c>
    </row>
    <row r="70" spans="2:5">
      <c r="B70">
        <v>0.42</v>
      </c>
      <c r="C70">
        <f t="shared" si="8"/>
        <v>-12.88</v>
      </c>
      <c r="D70">
        <v>0.42</v>
      </c>
      <c r="E70">
        <f t="shared" si="7"/>
        <v>1.0453999999999999</v>
      </c>
    </row>
    <row r="71" spans="2:5">
      <c r="B71">
        <v>0.43</v>
      </c>
      <c r="C71">
        <f t="shared" si="8"/>
        <v>-12.88</v>
      </c>
      <c r="D71">
        <v>0.43</v>
      </c>
      <c r="E71">
        <f t="shared" si="7"/>
        <v>0.91659999999999986</v>
      </c>
    </row>
    <row r="72" spans="2:5">
      <c r="B72">
        <v>0.44</v>
      </c>
      <c r="C72">
        <f t="shared" si="8"/>
        <v>-12.88</v>
      </c>
      <c r="D72">
        <v>0.44</v>
      </c>
      <c r="E72">
        <f t="shared" si="7"/>
        <v>0.78779999999999983</v>
      </c>
    </row>
    <row r="73" spans="2:5">
      <c r="B73">
        <v>0.45</v>
      </c>
      <c r="C73">
        <f t="shared" si="8"/>
        <v>-12.88</v>
      </c>
      <c r="D73">
        <v>0.45</v>
      </c>
      <c r="E73">
        <f t="shared" si="7"/>
        <v>0.65899999999999981</v>
      </c>
    </row>
    <row r="74" spans="2:5">
      <c r="B74">
        <v>0.46</v>
      </c>
      <c r="C74">
        <f t="shared" si="8"/>
        <v>-12.88</v>
      </c>
      <c r="D74">
        <v>0.46</v>
      </c>
      <c r="E74">
        <f t="shared" si="7"/>
        <v>0.53019999999999978</v>
      </c>
    </row>
    <row r="75" spans="2:5">
      <c r="B75">
        <v>0.47</v>
      </c>
      <c r="C75">
        <f t="shared" si="8"/>
        <v>-12.88</v>
      </c>
      <c r="D75">
        <v>0.47</v>
      </c>
      <c r="E75">
        <f t="shared" si="7"/>
        <v>0.40139999999999976</v>
      </c>
    </row>
    <row r="76" spans="2:5">
      <c r="B76">
        <v>0.48</v>
      </c>
      <c r="C76">
        <f t="shared" si="8"/>
        <v>-12.88</v>
      </c>
      <c r="D76">
        <v>0.48</v>
      </c>
      <c r="E76">
        <f t="shared" si="7"/>
        <v>0.27259999999999973</v>
      </c>
    </row>
    <row r="77" spans="2:5">
      <c r="B77">
        <v>0.49</v>
      </c>
      <c r="C77">
        <f t="shared" si="8"/>
        <v>-12.88</v>
      </c>
      <c r="D77">
        <v>0.49</v>
      </c>
      <c r="E77">
        <f t="shared" si="7"/>
        <v>0.14379999999999971</v>
      </c>
    </row>
    <row r="78" spans="2:5">
      <c r="B78">
        <v>0.5</v>
      </c>
      <c r="C78">
        <f t="shared" si="8"/>
        <v>-12.88</v>
      </c>
      <c r="D78">
        <v>0.5</v>
      </c>
      <c r="E78">
        <f t="shared" si="7"/>
        <v>1.499999999999968E-2</v>
      </c>
    </row>
    <row r="79" spans="2:5">
      <c r="B79">
        <v>0.51</v>
      </c>
      <c r="C79">
        <f t="shared" si="8"/>
        <v>-12.88</v>
      </c>
      <c r="D79">
        <v>0.51</v>
      </c>
      <c r="E79">
        <f t="shared" si="7"/>
        <v>-0.11380000000000035</v>
      </c>
    </row>
    <row r="80" spans="2:5">
      <c r="B80">
        <v>0.52</v>
      </c>
      <c r="C80">
        <f t="shared" si="8"/>
        <v>-12.88</v>
      </c>
      <c r="D80">
        <v>0.52</v>
      </c>
      <c r="E80">
        <f t="shared" si="7"/>
        <v>-0.24260000000000037</v>
      </c>
    </row>
    <row r="81" spans="2:5">
      <c r="B81">
        <v>0.53</v>
      </c>
      <c r="C81">
        <f t="shared" si="8"/>
        <v>-12.88</v>
      </c>
      <c r="D81">
        <v>0.53</v>
      </c>
      <c r="E81">
        <f t="shared" si="7"/>
        <v>-0.3714000000000004</v>
      </c>
    </row>
    <row r="82" spans="2:5">
      <c r="B82">
        <v>0.54</v>
      </c>
      <c r="C82">
        <f t="shared" si="8"/>
        <v>-12.88</v>
      </c>
      <c r="D82">
        <v>0.54</v>
      </c>
      <c r="E82">
        <f t="shared" si="7"/>
        <v>-0.50020000000000042</v>
      </c>
    </row>
    <row r="83" spans="2:5">
      <c r="B83">
        <v>0.55000000000000004</v>
      </c>
      <c r="C83">
        <f t="shared" si="8"/>
        <v>-12.88</v>
      </c>
      <c r="D83">
        <v>0.55000000000000004</v>
      </c>
      <c r="E83">
        <f t="shared" si="7"/>
        <v>-0.62900000000000134</v>
      </c>
    </row>
    <row r="84" spans="2:5">
      <c r="B84">
        <v>0.56000000000000005</v>
      </c>
      <c r="C84">
        <f t="shared" si="8"/>
        <v>-12.88</v>
      </c>
      <c r="D84">
        <v>0.56000000000000005</v>
      </c>
      <c r="E84">
        <f t="shared" si="7"/>
        <v>-0.75780000000000136</v>
      </c>
    </row>
    <row r="85" spans="2:5">
      <c r="B85">
        <v>0.56999999999999995</v>
      </c>
      <c r="C85">
        <f t="shared" si="8"/>
        <v>-12.88</v>
      </c>
      <c r="D85">
        <v>0.56999999999999995</v>
      </c>
      <c r="E85">
        <f t="shared" si="7"/>
        <v>-0.88659999999999961</v>
      </c>
    </row>
    <row r="86" spans="2:5">
      <c r="B86">
        <v>0.57999999999999996</v>
      </c>
      <c r="C86">
        <f t="shared" si="8"/>
        <v>-12.88</v>
      </c>
      <c r="D86">
        <v>0.57999999999999996</v>
      </c>
      <c r="E86">
        <f t="shared" si="7"/>
        <v>-1.0153999999999996</v>
      </c>
    </row>
    <row r="87" spans="2:5">
      <c r="B87">
        <v>0.59</v>
      </c>
      <c r="C87">
        <f t="shared" si="8"/>
        <v>-12.88</v>
      </c>
      <c r="D87">
        <v>0.59</v>
      </c>
      <c r="E87">
        <f t="shared" si="7"/>
        <v>-1.1441999999999997</v>
      </c>
    </row>
    <row r="88" spans="2:5">
      <c r="B88">
        <v>0.59199999999999997</v>
      </c>
      <c r="C88">
        <f t="shared" si="8"/>
        <v>-12.88</v>
      </c>
      <c r="D88">
        <v>0.59199999999999997</v>
      </c>
      <c r="E88">
        <f t="shared" si="7"/>
        <v>-1.1699599999999997</v>
      </c>
    </row>
    <row r="89" spans="2:5">
      <c r="B89">
        <v>0.59399999999999997</v>
      </c>
      <c r="C89">
        <f t="shared" si="8"/>
        <v>-12.88</v>
      </c>
      <c r="D89">
        <v>0.59399999999999997</v>
      </c>
      <c r="E89">
        <f t="shared" si="7"/>
        <v>-1.1957199999999997</v>
      </c>
    </row>
    <row r="90" spans="2:5">
      <c r="B90">
        <v>0.59599999999999997</v>
      </c>
      <c r="C90">
        <f t="shared" si="8"/>
        <v>-12.88</v>
      </c>
      <c r="D90">
        <v>0.59599999999999997</v>
      </c>
      <c r="E90">
        <f t="shared" si="7"/>
        <v>-1.2214799999999997</v>
      </c>
    </row>
    <row r="91" spans="2:5">
      <c r="B91">
        <v>0.59799999999999998</v>
      </c>
      <c r="C91">
        <f t="shared" si="8"/>
        <v>-12.88</v>
      </c>
      <c r="D91">
        <v>0.59799999999999998</v>
      </c>
      <c r="E91">
        <f t="shared" si="7"/>
        <v>-1.2472399999999997</v>
      </c>
    </row>
    <row r="92" spans="2:5">
      <c r="B92">
        <v>0.6</v>
      </c>
      <c r="C92">
        <v>0</v>
      </c>
      <c r="D92">
        <v>0.6</v>
      </c>
      <c r="E92">
        <f t="shared" si="7"/>
        <v>-1.2729999999999997</v>
      </c>
    </row>
    <row r="93" spans="2:5">
      <c r="B93">
        <v>0.60199999999999998</v>
      </c>
      <c r="C93">
        <f t="shared" ref="C93:C96" si="9">$B$5</f>
        <v>6.72</v>
      </c>
      <c r="D93">
        <v>0.60199999999999998</v>
      </c>
      <c r="E93">
        <f>$B$5*D93+$C$5</f>
        <v>-1.2595599999999996</v>
      </c>
    </row>
    <row r="94" spans="2:5">
      <c r="B94">
        <v>0.60399999999999998</v>
      </c>
      <c r="C94">
        <f t="shared" si="9"/>
        <v>6.72</v>
      </c>
      <c r="D94">
        <v>0.60399999999999998</v>
      </c>
      <c r="E94">
        <f t="shared" ref="E94:E119" si="10">$B$5*D94+$C$5</f>
        <v>-1.2461200000000003</v>
      </c>
    </row>
    <row r="95" spans="2:5">
      <c r="B95">
        <v>0.60599999999999998</v>
      </c>
      <c r="C95">
        <f t="shared" si="9"/>
        <v>6.72</v>
      </c>
      <c r="D95">
        <v>0.60599999999999998</v>
      </c>
      <c r="E95">
        <f t="shared" si="10"/>
        <v>-1.2326800000000002</v>
      </c>
    </row>
    <row r="96" spans="2:5">
      <c r="B96">
        <v>0.60799999999999998</v>
      </c>
      <c r="C96">
        <f t="shared" si="9"/>
        <v>6.72</v>
      </c>
      <c r="D96">
        <v>0.60799999999999998</v>
      </c>
      <c r="E96">
        <f t="shared" si="10"/>
        <v>-1.2192400000000001</v>
      </c>
    </row>
    <row r="97" spans="2:5">
      <c r="B97">
        <v>0.61</v>
      </c>
      <c r="C97">
        <f>$B$5</f>
        <v>6.72</v>
      </c>
      <c r="D97">
        <v>0.61</v>
      </c>
      <c r="E97">
        <f t="shared" si="10"/>
        <v>-1.2058</v>
      </c>
    </row>
    <row r="98" spans="2:5">
      <c r="B98">
        <v>0.62</v>
      </c>
      <c r="C98">
        <f t="shared" ref="C98:C118" si="11">$B$5</f>
        <v>6.72</v>
      </c>
      <c r="D98">
        <v>0.62</v>
      </c>
      <c r="E98">
        <f t="shared" si="10"/>
        <v>-1.1386000000000003</v>
      </c>
    </row>
    <row r="99" spans="2:5">
      <c r="B99">
        <v>0.63</v>
      </c>
      <c r="C99">
        <f t="shared" si="11"/>
        <v>6.72</v>
      </c>
      <c r="D99">
        <v>0.63</v>
      </c>
      <c r="E99">
        <f t="shared" si="10"/>
        <v>-1.0713999999999997</v>
      </c>
    </row>
    <row r="100" spans="2:5">
      <c r="B100">
        <v>0.64</v>
      </c>
      <c r="C100">
        <f t="shared" si="11"/>
        <v>6.72</v>
      </c>
      <c r="D100">
        <v>0.64</v>
      </c>
      <c r="E100">
        <f t="shared" si="10"/>
        <v>-1.0042</v>
      </c>
    </row>
    <row r="101" spans="2:5">
      <c r="B101">
        <v>0.65</v>
      </c>
      <c r="C101">
        <f t="shared" si="11"/>
        <v>6.72</v>
      </c>
      <c r="D101">
        <v>0.65</v>
      </c>
      <c r="E101">
        <f t="shared" si="10"/>
        <v>-0.93699999999999939</v>
      </c>
    </row>
    <row r="102" spans="2:5">
      <c r="B102">
        <v>0.66</v>
      </c>
      <c r="C102">
        <f t="shared" si="11"/>
        <v>6.72</v>
      </c>
      <c r="D102">
        <v>0.66</v>
      </c>
      <c r="E102">
        <f t="shared" si="10"/>
        <v>-0.86979999999999968</v>
      </c>
    </row>
    <row r="103" spans="2:5">
      <c r="B103">
        <v>0.67</v>
      </c>
      <c r="C103">
        <f t="shared" si="11"/>
        <v>6.72</v>
      </c>
      <c r="D103">
        <v>0.67</v>
      </c>
      <c r="E103">
        <f t="shared" si="10"/>
        <v>-0.80259999999999998</v>
      </c>
    </row>
    <row r="104" spans="2:5">
      <c r="B104">
        <v>0.68</v>
      </c>
      <c r="C104">
        <f t="shared" si="11"/>
        <v>6.72</v>
      </c>
      <c r="D104">
        <v>0.68</v>
      </c>
      <c r="E104">
        <f t="shared" si="10"/>
        <v>-0.73539999999999939</v>
      </c>
    </row>
    <row r="105" spans="2:5">
      <c r="B105">
        <v>0.69</v>
      </c>
      <c r="C105">
        <f t="shared" si="11"/>
        <v>6.72</v>
      </c>
      <c r="D105">
        <v>0.69</v>
      </c>
      <c r="E105">
        <f t="shared" si="10"/>
        <v>-0.66820000000000057</v>
      </c>
    </row>
    <row r="106" spans="2:5">
      <c r="B106">
        <v>0.7</v>
      </c>
      <c r="C106">
        <f t="shared" si="11"/>
        <v>6.72</v>
      </c>
      <c r="D106">
        <v>0.7</v>
      </c>
      <c r="E106">
        <f t="shared" si="10"/>
        <v>-0.60099999999999998</v>
      </c>
    </row>
    <row r="107" spans="2:5">
      <c r="B107">
        <v>0.71</v>
      </c>
      <c r="C107">
        <f t="shared" si="11"/>
        <v>6.72</v>
      </c>
      <c r="D107">
        <v>0.71</v>
      </c>
      <c r="E107">
        <f t="shared" si="10"/>
        <v>-0.53380000000000027</v>
      </c>
    </row>
    <row r="108" spans="2:5">
      <c r="B108">
        <v>0.72</v>
      </c>
      <c r="C108">
        <f t="shared" si="11"/>
        <v>6.72</v>
      </c>
      <c r="D108">
        <v>0.72</v>
      </c>
      <c r="E108">
        <f t="shared" si="10"/>
        <v>-0.46659999999999968</v>
      </c>
    </row>
    <row r="109" spans="2:5">
      <c r="B109">
        <v>0.73</v>
      </c>
      <c r="C109">
        <f t="shared" si="11"/>
        <v>6.72</v>
      </c>
      <c r="D109">
        <v>0.73</v>
      </c>
      <c r="E109">
        <f t="shared" si="10"/>
        <v>-0.39939999999999998</v>
      </c>
    </row>
    <row r="110" spans="2:5">
      <c r="B110">
        <v>0.74</v>
      </c>
      <c r="C110">
        <f t="shared" si="11"/>
        <v>6.72</v>
      </c>
      <c r="D110">
        <v>0.74</v>
      </c>
      <c r="E110">
        <f t="shared" si="10"/>
        <v>-0.33220000000000027</v>
      </c>
    </row>
    <row r="111" spans="2:5">
      <c r="B111">
        <v>0.75</v>
      </c>
      <c r="C111">
        <f t="shared" si="11"/>
        <v>6.72</v>
      </c>
      <c r="D111">
        <v>0.75</v>
      </c>
      <c r="E111">
        <f t="shared" si="10"/>
        <v>-0.26499999999999968</v>
      </c>
    </row>
    <row r="112" spans="2:5">
      <c r="B112">
        <v>0.76</v>
      </c>
      <c r="C112">
        <f t="shared" si="11"/>
        <v>6.72</v>
      </c>
      <c r="D112">
        <v>0.76</v>
      </c>
      <c r="E112">
        <f t="shared" si="10"/>
        <v>-0.19779999999999998</v>
      </c>
    </row>
    <row r="113" spans="2:5">
      <c r="B113">
        <v>0.77</v>
      </c>
      <c r="C113">
        <f t="shared" si="11"/>
        <v>6.72</v>
      </c>
      <c r="D113">
        <v>0.77</v>
      </c>
      <c r="E113">
        <f t="shared" si="10"/>
        <v>-0.13059999999999938</v>
      </c>
    </row>
    <row r="114" spans="2:5">
      <c r="B114">
        <v>0.78</v>
      </c>
      <c r="C114">
        <f t="shared" si="11"/>
        <v>6.72</v>
      </c>
      <c r="D114">
        <v>0.78</v>
      </c>
      <c r="E114">
        <f t="shared" si="10"/>
        <v>-6.3399999999999679E-2</v>
      </c>
    </row>
    <row r="115" spans="2:5">
      <c r="B115">
        <v>0.78200000000000003</v>
      </c>
      <c r="C115">
        <f t="shared" si="11"/>
        <v>6.72</v>
      </c>
      <c r="D115">
        <v>0.78200000000000003</v>
      </c>
      <c r="E115">
        <f t="shared" si="10"/>
        <v>-4.995999999999956E-2</v>
      </c>
    </row>
    <row r="116" spans="2:5">
      <c r="B116">
        <v>0.78400000000000003</v>
      </c>
      <c r="C116">
        <f t="shared" si="11"/>
        <v>6.72</v>
      </c>
      <c r="D116">
        <v>0.78400000000000003</v>
      </c>
      <c r="E116">
        <f t="shared" si="10"/>
        <v>-3.6519999999999442E-2</v>
      </c>
    </row>
    <row r="117" spans="2:5">
      <c r="B117">
        <v>0.78600000000000003</v>
      </c>
      <c r="C117">
        <f t="shared" si="11"/>
        <v>6.72</v>
      </c>
      <c r="D117">
        <v>0.78600000000000003</v>
      </c>
      <c r="E117">
        <f t="shared" si="10"/>
        <v>-2.3079999999999323E-2</v>
      </c>
    </row>
    <row r="118" spans="2:5">
      <c r="B118">
        <v>0.78800000000000003</v>
      </c>
      <c r="C118">
        <f t="shared" si="11"/>
        <v>6.72</v>
      </c>
      <c r="D118">
        <v>0.78800000000000003</v>
      </c>
      <c r="E118">
        <f t="shared" si="10"/>
        <v>-9.6400000000000929E-3</v>
      </c>
    </row>
    <row r="119" spans="2:5">
      <c r="B119">
        <v>0.79</v>
      </c>
      <c r="C119">
        <v>0</v>
      </c>
      <c r="D119">
        <v>0.79</v>
      </c>
      <c r="E119">
        <f t="shared" si="10"/>
        <v>3.8000000000000256E-3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2"/>
  <sheetViews>
    <sheetView tabSelected="1" workbookViewId="0">
      <selection activeCell="I19" sqref="I19"/>
    </sheetView>
  </sheetViews>
  <sheetFormatPr defaultRowHeight="15"/>
  <cols>
    <col min="1" max="1" width="12.5703125" customWidth="1"/>
    <col min="2" max="2" width="14" customWidth="1"/>
    <col min="3" max="3" width="19" customWidth="1"/>
  </cols>
  <sheetData>
    <row r="1" spans="1:10">
      <c r="A1" s="185" t="s">
        <v>152</v>
      </c>
      <c r="B1" s="186"/>
    </row>
    <row r="3" spans="1:10">
      <c r="B3" s="151" t="s">
        <v>55</v>
      </c>
      <c r="C3" s="48" t="s">
        <v>56</v>
      </c>
      <c r="D3" s="168" t="s">
        <v>107</v>
      </c>
      <c r="E3" s="169"/>
      <c r="F3" s="169"/>
      <c r="G3" s="169"/>
      <c r="H3" s="169"/>
      <c r="I3" s="169"/>
      <c r="J3" s="169"/>
    </row>
    <row r="4" spans="1:10">
      <c r="B4" s="151"/>
      <c r="C4" s="37" t="s">
        <v>63</v>
      </c>
      <c r="D4" s="169"/>
      <c r="E4" s="169"/>
      <c r="F4" s="169"/>
      <c r="G4" s="169"/>
      <c r="H4" s="169"/>
      <c r="I4" s="169"/>
      <c r="J4" s="169"/>
    </row>
    <row r="6" spans="1:10">
      <c r="A6" s="78" t="s">
        <v>108</v>
      </c>
    </row>
    <row r="7" spans="1:10">
      <c r="B7" t="s">
        <v>153</v>
      </c>
    </row>
    <row r="8" spans="1:10" ht="15.75" thickBot="1">
      <c r="B8" s="129"/>
      <c r="C8" s="128" t="s">
        <v>25</v>
      </c>
    </row>
    <row r="9" spans="1:10" ht="15.75" thickTop="1">
      <c r="B9" s="125" t="s">
        <v>155</v>
      </c>
      <c r="C9" s="131">
        <v>5.0000000000000001E-3</v>
      </c>
    </row>
    <row r="10" spans="1:10">
      <c r="B10" s="126" t="s">
        <v>154</v>
      </c>
      <c r="C10" s="130">
        <v>0.02</v>
      </c>
    </row>
    <row r="11" spans="1:10">
      <c r="B11" s="126" t="s">
        <v>156</v>
      </c>
      <c r="C11" s="130">
        <v>0.15</v>
      </c>
    </row>
    <row r="12" spans="1:10">
      <c r="B12" s="121" t="s">
        <v>157</v>
      </c>
    </row>
    <row r="13" spans="1:10">
      <c r="B13" s="187" t="s">
        <v>158</v>
      </c>
      <c r="C13" s="188">
        <f>C9*(C10^3)/12</f>
        <v>3.3333333333333338E-9</v>
      </c>
    </row>
    <row r="14" spans="1:10">
      <c r="B14" s="121" t="s">
        <v>113</v>
      </c>
    </row>
    <row r="15" spans="1:10">
      <c r="B15" s="126" t="s">
        <v>113</v>
      </c>
      <c r="C15" s="130">
        <v>500</v>
      </c>
    </row>
    <row r="16" spans="1:10">
      <c r="B16" s="121" t="s">
        <v>115</v>
      </c>
    </row>
    <row r="17" spans="1:5">
      <c r="B17" s="126" t="s">
        <v>115</v>
      </c>
      <c r="C17" s="130">
        <v>206</v>
      </c>
    </row>
    <row r="18" spans="1:5">
      <c r="B18" s="121" t="s">
        <v>159</v>
      </c>
    </row>
    <row r="19" spans="1:5">
      <c r="B19" s="126" t="s">
        <v>160</v>
      </c>
      <c r="C19" s="189">
        <f>((C15*(C11^3))/(3*(C17*(10^9))*C13))*1000</f>
        <v>0.8191747572815532</v>
      </c>
    </row>
    <row r="20" spans="1:5">
      <c r="A20" s="162" t="s">
        <v>161</v>
      </c>
      <c r="B20" s="162"/>
    </row>
    <row r="21" spans="1:5" ht="15.75" thickBot="1">
      <c r="B21" s="129" t="s">
        <v>162</v>
      </c>
      <c r="C21" s="128" t="s">
        <v>163</v>
      </c>
      <c r="D21" s="128" t="s">
        <v>127</v>
      </c>
      <c r="E21" s="128" t="s">
        <v>128</v>
      </c>
    </row>
    <row r="22" spans="1:5" ht="15.75" thickTop="1">
      <c r="B22" s="191">
        <f>C19</f>
        <v>0.8191747572815532</v>
      </c>
      <c r="C22" s="131">
        <v>0.83099999999999996</v>
      </c>
      <c r="D22" s="191">
        <f>C22-B22</f>
        <v>1.182524271844676E-2</v>
      </c>
      <c r="E22" s="133">
        <f>D22/B22</f>
        <v>1.4435555555555752E-2</v>
      </c>
    </row>
  </sheetData>
  <mergeCells count="3">
    <mergeCell ref="B3:B4"/>
    <mergeCell ref="D3:J4"/>
    <mergeCell ref="A20:B20"/>
  </mergeCell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F29" sqref="F29"/>
    </sheetView>
  </sheetViews>
  <sheetFormatPr defaultColWidth="8.85546875" defaultRowHeight="15"/>
  <cols>
    <col min="1" max="1" width="12" customWidth="1"/>
    <col min="2" max="2" width="10.5703125" customWidth="1"/>
    <col min="3" max="3" width="16.42578125" customWidth="1"/>
    <col min="4" max="4" width="14.140625" customWidth="1"/>
    <col min="5" max="5" width="16" customWidth="1"/>
    <col min="6" max="6" width="16.42578125" customWidth="1"/>
    <col min="7" max="7" width="16.85546875" customWidth="1"/>
  </cols>
  <sheetData>
    <row r="1" spans="1:10">
      <c r="A1" s="185" t="s">
        <v>165</v>
      </c>
      <c r="B1" s="186"/>
    </row>
    <row r="3" spans="1:10">
      <c r="B3" s="151" t="s">
        <v>55</v>
      </c>
      <c r="C3" s="48" t="s">
        <v>56</v>
      </c>
      <c r="D3" s="168" t="s">
        <v>107</v>
      </c>
      <c r="E3" s="169"/>
      <c r="F3" s="169"/>
      <c r="G3" s="169"/>
      <c r="H3" s="169"/>
      <c r="I3" s="169"/>
      <c r="J3" s="169"/>
    </row>
    <row r="4" spans="1:10">
      <c r="B4" s="151"/>
      <c r="C4" s="37" t="s">
        <v>63</v>
      </c>
      <c r="D4" s="169"/>
      <c r="E4" s="169"/>
      <c r="F4" s="169"/>
      <c r="G4" s="169"/>
      <c r="H4" s="169"/>
      <c r="I4" s="169"/>
      <c r="J4" s="169"/>
    </row>
    <row r="6" spans="1:10">
      <c r="A6" s="78" t="s">
        <v>164</v>
      </c>
    </row>
    <row r="7" spans="1:10">
      <c r="B7" t="s">
        <v>167</v>
      </c>
    </row>
    <row r="8" spans="1:10" ht="15.75" thickBot="1">
      <c r="B8" s="128" t="s">
        <v>168</v>
      </c>
      <c r="C8" s="128" t="s">
        <v>169</v>
      </c>
      <c r="D8" s="128" t="s">
        <v>170</v>
      </c>
      <c r="E8" s="128" t="s">
        <v>113</v>
      </c>
      <c r="F8" s="129" t="s">
        <v>171</v>
      </c>
      <c r="G8" s="129" t="s">
        <v>172</v>
      </c>
    </row>
    <row r="9" spans="1:10" ht="15.75" thickTop="1">
      <c r="B9" s="131">
        <f>0.06</f>
        <v>0.06</v>
      </c>
      <c r="C9" s="131">
        <f>0.002</f>
        <v>2E-3</v>
      </c>
      <c r="D9" s="131">
        <v>0.2</v>
      </c>
      <c r="E9" s="131">
        <v>1200</v>
      </c>
      <c r="F9" s="127">
        <f>E9/(C9*B9)</f>
        <v>10000000</v>
      </c>
      <c r="G9" s="131">
        <v>2.1999999999999999E-2</v>
      </c>
    </row>
    <row r="10" spans="1:10">
      <c r="A10" s="192" t="s">
        <v>3</v>
      </c>
      <c r="B10" s="192"/>
      <c r="C10" s="192"/>
    </row>
    <row r="11" spans="1:10" ht="27.75" thickBot="1">
      <c r="B11" s="7" t="s">
        <v>4</v>
      </c>
      <c r="C11" s="7" t="s">
        <v>5</v>
      </c>
      <c r="D11" s="7" t="s">
        <v>6</v>
      </c>
      <c r="E11" s="7" t="s">
        <v>7</v>
      </c>
      <c r="G11" s="196" t="s">
        <v>173</v>
      </c>
    </row>
    <row r="12" spans="1:10" ht="15.75" thickTop="1">
      <c r="B12" s="194">
        <v>2</v>
      </c>
      <c r="C12" s="194">
        <v>805</v>
      </c>
      <c r="D12" s="194">
        <v>3.5299999999999998E-2</v>
      </c>
      <c r="E12" s="8">
        <f>$D12*(10^9)/$G$12</f>
        <v>2.2356666666666669</v>
      </c>
      <c r="G12" s="127">
        <f>$E$9/(($B$9-$G$9)*$C$9)</f>
        <v>15789473.684210526</v>
      </c>
    </row>
    <row r="13" spans="1:10">
      <c r="B13" s="195">
        <v>4</v>
      </c>
      <c r="C13" s="195">
        <v>251</v>
      </c>
      <c r="D13" s="195">
        <v>3.4500000000000003E-2</v>
      </c>
      <c r="E13" s="8">
        <f t="shared" ref="E13:E15" si="0">$D13*(10^9)/$G$12</f>
        <v>2.1850000000000001</v>
      </c>
    </row>
    <row r="14" spans="1:10">
      <c r="B14" s="195">
        <v>6</v>
      </c>
      <c r="C14" s="195">
        <v>48</v>
      </c>
      <c r="D14" s="195">
        <v>3.3500000000000002E-2</v>
      </c>
      <c r="E14" s="8">
        <f t="shared" si="0"/>
        <v>2.121666666666667</v>
      </c>
    </row>
    <row r="15" spans="1:10">
      <c r="B15" s="195">
        <v>8</v>
      </c>
      <c r="C15" s="195">
        <v>20</v>
      </c>
      <c r="D15" s="195">
        <v>3.4599999999999999E-2</v>
      </c>
      <c r="E15" s="8">
        <f t="shared" si="0"/>
        <v>2.1913333333333336</v>
      </c>
    </row>
    <row r="16" spans="1:10">
      <c r="A16" s="192" t="s">
        <v>10</v>
      </c>
      <c r="B16" s="192"/>
      <c r="C16" s="192"/>
    </row>
    <row r="17" spans="1:7">
      <c r="B17" t="s">
        <v>164</v>
      </c>
    </row>
    <row r="18" spans="1:7" ht="27.75" thickBot="1">
      <c r="B18" s="7" t="s">
        <v>8</v>
      </c>
      <c r="C18" s="7" t="s">
        <v>12</v>
      </c>
      <c r="D18" s="7" t="s">
        <v>6</v>
      </c>
      <c r="E18" s="7" t="s">
        <v>7</v>
      </c>
      <c r="G18" s="196" t="s">
        <v>174</v>
      </c>
    </row>
    <row r="19" spans="1:7" ht="15.75" thickTop="1">
      <c r="B19" s="194">
        <v>6.0000000000000001E-3</v>
      </c>
      <c r="C19" s="193">
        <f>B19/$B$9</f>
        <v>0.1</v>
      </c>
      <c r="D19" s="194">
        <v>2.9100000000000001E-2</v>
      </c>
      <c r="E19" s="87">
        <v>2.62</v>
      </c>
      <c r="G19" s="197">
        <f>$E$9/(($B$9-B19)*$C$9)</f>
        <v>11111111.111111112</v>
      </c>
    </row>
    <row r="20" spans="1:7">
      <c r="B20" s="99">
        <v>0.01</v>
      </c>
      <c r="C20" s="193">
        <f t="shared" ref="C20:C23" si="1">B20/$B$9</f>
        <v>0.16666666666666669</v>
      </c>
      <c r="D20" s="195">
        <v>2.9700000000000001E-2</v>
      </c>
      <c r="E20" s="86">
        <v>2.48</v>
      </c>
      <c r="G20" s="132">
        <f>$E$9/(($B$9-B20)*$C$9)</f>
        <v>12000000.000000002</v>
      </c>
    </row>
    <row r="21" spans="1:7">
      <c r="B21" s="195">
        <v>1.6E-2</v>
      </c>
      <c r="C21" s="193">
        <f t="shared" si="1"/>
        <v>0.26666666666666666</v>
      </c>
      <c r="D21" s="195">
        <v>3.1600000000000003E-2</v>
      </c>
      <c r="E21" s="5">
        <v>2.3199999999999998</v>
      </c>
      <c r="G21" s="132">
        <f t="shared" ref="G20:G23" si="2">$E$9/(($B$9-B21)*$C$9)</f>
        <v>13636363.636363637</v>
      </c>
    </row>
    <row r="22" spans="1:7">
      <c r="B22" s="99">
        <v>2.1999999999999999E-2</v>
      </c>
      <c r="C22" s="193">
        <f t="shared" si="1"/>
        <v>0.36666666666666664</v>
      </c>
      <c r="D22" s="195">
        <v>3.4500000000000003E-2</v>
      </c>
      <c r="E22" s="86">
        <v>2.19</v>
      </c>
      <c r="G22" s="132">
        <f t="shared" si="2"/>
        <v>15789473.684210526</v>
      </c>
    </row>
    <row r="23" spans="1:7">
      <c r="B23" s="99">
        <v>0.03</v>
      </c>
      <c r="C23" s="193">
        <f t="shared" si="1"/>
        <v>0.5</v>
      </c>
      <c r="D23" s="195">
        <v>4.24E-2</v>
      </c>
      <c r="E23" s="86">
        <v>2.12</v>
      </c>
      <c r="G23" s="132">
        <f t="shared" si="2"/>
        <v>20000000</v>
      </c>
    </row>
    <row r="24" spans="1:7">
      <c r="B24" t="s">
        <v>161</v>
      </c>
    </row>
    <row r="25" spans="1:7" ht="39" thickBot="1">
      <c r="B25" s="7" t="s">
        <v>7</v>
      </c>
      <c r="C25" s="7" t="s">
        <v>9</v>
      </c>
    </row>
    <row r="26" spans="1:7" ht="15.75" thickTop="1">
      <c r="B26" s="87">
        <f>E19</f>
        <v>2.62</v>
      </c>
      <c r="C26" s="8">
        <f>C19</f>
        <v>0.1</v>
      </c>
    </row>
    <row r="27" spans="1:7">
      <c r="B27" s="87">
        <f t="shared" ref="B27:B30" si="3">E20</f>
        <v>2.48</v>
      </c>
      <c r="C27" s="193">
        <f t="shared" ref="C27:C30" si="4">C20</f>
        <v>0.16666666666666669</v>
      </c>
    </row>
    <row r="28" spans="1:7">
      <c r="B28" s="87">
        <f t="shared" si="3"/>
        <v>2.3199999999999998</v>
      </c>
      <c r="C28" s="8">
        <f t="shared" si="4"/>
        <v>0.26666666666666666</v>
      </c>
    </row>
    <row r="29" spans="1:7">
      <c r="B29" s="87">
        <f t="shared" si="3"/>
        <v>2.19</v>
      </c>
      <c r="C29" s="8">
        <f t="shared" si="4"/>
        <v>0.36666666666666664</v>
      </c>
    </row>
    <row r="30" spans="1:7">
      <c r="B30" s="87">
        <f t="shared" si="3"/>
        <v>2.12</v>
      </c>
      <c r="C30" s="8">
        <f t="shared" si="4"/>
        <v>0.5</v>
      </c>
    </row>
    <row r="31" spans="1:7">
      <c r="A31" s="192" t="s">
        <v>11</v>
      </c>
      <c r="B31" s="192"/>
      <c r="C31" s="192"/>
    </row>
    <row r="32" spans="1:7" ht="39" thickBot="1">
      <c r="B32" s="7" t="s">
        <v>7</v>
      </c>
      <c r="C32" s="7" t="s">
        <v>5</v>
      </c>
    </row>
    <row r="33" spans="2:3" ht="15.75" thickTop="1">
      <c r="B33" s="8">
        <f>E12</f>
        <v>2.2356666666666669</v>
      </c>
      <c r="C33" s="87">
        <f>C12</f>
        <v>805</v>
      </c>
    </row>
    <row r="34" spans="2:3">
      <c r="B34" s="8">
        <f t="shared" ref="B34:B36" si="5">E13</f>
        <v>2.1850000000000001</v>
      </c>
      <c r="C34" s="87">
        <f t="shared" ref="C34:C36" si="6">C13</f>
        <v>251</v>
      </c>
    </row>
    <row r="35" spans="2:3">
      <c r="B35" s="8">
        <f t="shared" si="5"/>
        <v>2.121666666666667</v>
      </c>
      <c r="C35" s="87">
        <f t="shared" si="6"/>
        <v>48</v>
      </c>
    </row>
    <row r="36" spans="2:3">
      <c r="B36" s="8">
        <f t="shared" si="5"/>
        <v>2.1913333333333336</v>
      </c>
      <c r="C36" s="87">
        <f t="shared" si="6"/>
        <v>20</v>
      </c>
    </row>
  </sheetData>
  <mergeCells count="5">
    <mergeCell ref="B3:B4"/>
    <mergeCell ref="D3:J4"/>
    <mergeCell ref="A10:C10"/>
    <mergeCell ref="A16:C16"/>
    <mergeCell ref="A31:C3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11"/>
  <sheetViews>
    <sheetView workbookViewId="0">
      <selection activeCell="G18" sqref="G18"/>
    </sheetView>
  </sheetViews>
  <sheetFormatPr defaultRowHeight="15"/>
  <cols>
    <col min="2" max="2" width="11.140625" customWidth="1"/>
    <col min="3" max="3" width="13.85546875" customWidth="1"/>
    <col min="4" max="4" width="11.5703125" customWidth="1"/>
    <col min="5" max="5" width="12.5703125" customWidth="1"/>
    <col min="9" max="9" width="15.5703125" customWidth="1"/>
  </cols>
  <sheetData>
    <row r="1" spans="1:10">
      <c r="A1" s="185" t="s">
        <v>166</v>
      </c>
      <c r="B1" s="186"/>
    </row>
    <row r="3" spans="1:10">
      <c r="B3" s="151" t="s">
        <v>55</v>
      </c>
      <c r="C3" s="48" t="s">
        <v>56</v>
      </c>
      <c r="D3" s="168" t="s">
        <v>107</v>
      </c>
      <c r="E3" s="169"/>
      <c r="F3" s="169"/>
      <c r="G3" s="169"/>
      <c r="H3" s="169"/>
      <c r="I3" s="169"/>
      <c r="J3" s="169"/>
    </row>
    <row r="4" spans="1:10">
      <c r="B4" s="151"/>
      <c r="C4" s="37" t="s">
        <v>63</v>
      </c>
      <c r="D4" s="169"/>
      <c r="E4" s="169"/>
      <c r="F4" s="169"/>
      <c r="G4" s="169"/>
      <c r="H4" s="169"/>
      <c r="I4" s="169"/>
      <c r="J4" s="169"/>
    </row>
    <row r="6" spans="1:10">
      <c r="A6" s="192" t="s">
        <v>161</v>
      </c>
      <c r="B6" s="192"/>
      <c r="C6" s="190" t="s">
        <v>177</v>
      </c>
      <c r="D6" s="190"/>
      <c r="E6" s="190"/>
      <c r="F6" s="190"/>
      <c r="G6" s="190"/>
      <c r="H6" s="190"/>
    </row>
    <row r="7" spans="1:10">
      <c r="A7" s="198"/>
      <c r="B7" s="201"/>
      <c r="C7" s="199"/>
      <c r="D7" s="199"/>
      <c r="E7" s="199"/>
      <c r="F7" s="199" t="s">
        <v>127</v>
      </c>
      <c r="G7" s="199"/>
      <c r="H7" s="199"/>
      <c r="I7" s="199"/>
    </row>
    <row r="8" spans="1:10">
      <c r="A8" s="198"/>
      <c r="B8" s="201"/>
      <c r="C8" s="199"/>
      <c r="D8" s="199"/>
      <c r="E8" s="199"/>
      <c r="F8" s="200" t="s">
        <v>178</v>
      </c>
      <c r="G8" s="200"/>
      <c r="H8" s="200" t="s">
        <v>179</v>
      </c>
      <c r="I8" s="200"/>
    </row>
    <row r="9" spans="1:10" ht="15.75" thickBot="1">
      <c r="B9" s="140" t="s">
        <v>175</v>
      </c>
      <c r="C9" s="140" t="s">
        <v>117</v>
      </c>
      <c r="D9" s="140" t="s">
        <v>25</v>
      </c>
      <c r="E9" s="202" t="s">
        <v>176</v>
      </c>
      <c r="F9" s="203" t="s">
        <v>127</v>
      </c>
      <c r="G9" s="203" t="s">
        <v>128</v>
      </c>
      <c r="H9" s="203" t="s">
        <v>127</v>
      </c>
      <c r="I9" s="203" t="s">
        <v>128</v>
      </c>
    </row>
    <row r="10" spans="1:10" ht="15.75" thickTop="1">
      <c r="B10" s="204">
        <v>0.2</v>
      </c>
      <c r="C10" s="205">
        <v>0.16200000000000001</v>
      </c>
      <c r="D10" s="205">
        <v>0.161</v>
      </c>
      <c r="E10" s="206">
        <v>0.156</v>
      </c>
      <c r="F10" s="205">
        <f>C10-D10</f>
        <v>1.0000000000000009E-3</v>
      </c>
      <c r="G10" s="207">
        <f>F10/D10</f>
        <v>6.2111801242236081E-3</v>
      </c>
      <c r="H10" s="205">
        <f>E10-D10</f>
        <v>-5.0000000000000044E-3</v>
      </c>
      <c r="I10" s="207">
        <f>H10/D10</f>
        <v>-3.105590062111804E-2</v>
      </c>
    </row>
    <row r="11" spans="1:10">
      <c r="B11" s="208">
        <v>0.6</v>
      </c>
      <c r="C11" s="209">
        <v>0.191</v>
      </c>
      <c r="D11" s="211">
        <v>0.18</v>
      </c>
      <c r="E11" s="210">
        <v>0.17399999999999999</v>
      </c>
      <c r="F11" s="205">
        <f>C11-D11</f>
        <v>1.100000000000001E-2</v>
      </c>
      <c r="G11" s="207">
        <f>F11/D11</f>
        <v>6.1111111111111165E-2</v>
      </c>
      <c r="H11" s="205">
        <f>E11-D11</f>
        <v>-6.0000000000000053E-3</v>
      </c>
      <c r="I11" s="207">
        <f>H11/D11</f>
        <v>-3.3333333333333368E-2</v>
      </c>
    </row>
  </sheetData>
  <mergeCells count="9">
    <mergeCell ref="B3:B4"/>
    <mergeCell ref="D3:J4"/>
    <mergeCell ref="A6:B6"/>
    <mergeCell ref="C6:H6"/>
    <mergeCell ref="F7:I7"/>
    <mergeCell ref="F8:G8"/>
    <mergeCell ref="H8:I8"/>
    <mergeCell ref="C7:E8"/>
    <mergeCell ref="B7:B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1</xdr:col>
                <xdr:colOff>190500</xdr:colOff>
                <xdr:row>11</xdr:row>
                <xdr:rowOff>85725</xdr:rowOff>
              </from>
              <to>
                <xdr:col>3</xdr:col>
                <xdr:colOff>419100</xdr:colOff>
                <xdr:row>13</xdr:row>
                <xdr:rowOff>133350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実験1-試験片寸法-計算用</vt:lpstr>
      <vt:lpstr>実験1-荷重とたわみの測定結果</vt:lpstr>
      <vt:lpstr>実験2-ひずみゲージ接続法の違い</vt:lpstr>
      <vt:lpstr>実験2-SFD図とBMD図の自動作成</vt:lpstr>
      <vt:lpstr>実験2-bたわみの測定結果と計算結果</vt:lpstr>
      <vt:lpstr>実験3</vt:lpstr>
      <vt:lpstr>実験3-SFDとBMD</vt:lpstr>
      <vt:lpstr>解析1</vt:lpstr>
      <vt:lpstr>解析2</vt:lpstr>
      <vt:lpstr>解析3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Yoshino</cp:lastModifiedBy>
  <dcterms:created xsi:type="dcterms:W3CDTF">2017-11-01T05:43:42Z</dcterms:created>
  <dcterms:modified xsi:type="dcterms:W3CDTF">2017-11-10T16:00:27Z</dcterms:modified>
</cp:coreProperties>
</file>