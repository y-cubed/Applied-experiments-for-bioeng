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mp0016\Desktop\"/>
    </mc:Choice>
  </mc:AlternateContent>
  <bookViews>
    <workbookView xWindow="-1260" yWindow="1260" windowWidth="25605" windowHeight="15465" firstSheet="3" activeTab="3"/>
  </bookViews>
  <sheets>
    <sheet name="実験1-試験片寸法-計算用" sheetId="1" r:id="rId1"/>
    <sheet name="実験1-荷重とたわみの測定結果" sheetId="3" r:id="rId2"/>
    <sheet name="実験2-ひずみゲージ接続法の違い" sheetId="4" r:id="rId3"/>
    <sheet name="実験2-SFD図とBMD図の自動作成" sheetId="12" r:id="rId4"/>
    <sheet name="実験2-bたわみの測定結果と計算結果" sheetId="9" r:id="rId5"/>
    <sheet name="実験3" sheetId="5" r:id="rId6"/>
    <sheet name="実験3-SFDとBMD" sheetId="7" r:id="rId7"/>
    <sheet name="解析1" sheetId="13" r:id="rId8"/>
    <sheet name="解析2" sheetId="2" r:id="rId9"/>
    <sheet name="解析3" sheetId="14" r:id="rId10"/>
  </sheets>
  <functionGroups builtInGroupCount="18"/>
  <calcPr calcId="162913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0" i="12" l="1"/>
  <c r="H10" i="12"/>
  <c r="C27" i="12"/>
  <c r="H11" i="14"/>
  <c r="I11" i="14"/>
  <c r="H10" i="14"/>
  <c r="I10" i="14"/>
  <c r="F11" i="14"/>
  <c r="G11" i="14"/>
  <c r="F10" i="14"/>
  <c r="G10" i="14"/>
  <c r="B9" i="2"/>
  <c r="C9" i="2"/>
  <c r="G20" i="2"/>
  <c r="G21" i="2"/>
  <c r="G22" i="2"/>
  <c r="G23" i="2"/>
  <c r="G19" i="2"/>
  <c r="G12" i="2"/>
  <c r="E13" i="2"/>
  <c r="E14" i="2"/>
  <c r="E15" i="2"/>
  <c r="E12" i="2"/>
  <c r="F9" i="2"/>
  <c r="C20" i="2"/>
  <c r="C21" i="2"/>
  <c r="C22" i="2"/>
  <c r="C23" i="2"/>
  <c r="C19" i="2"/>
  <c r="B34" i="2"/>
  <c r="B35" i="2"/>
  <c r="B36" i="2"/>
  <c r="B33" i="2"/>
  <c r="C34" i="2"/>
  <c r="C35" i="2"/>
  <c r="C36" i="2"/>
  <c r="C33" i="2"/>
  <c r="C27" i="2"/>
  <c r="C28" i="2"/>
  <c r="C29" i="2"/>
  <c r="C30" i="2"/>
  <c r="C26" i="2"/>
  <c r="B27" i="2"/>
  <c r="B28" i="2"/>
  <c r="B29" i="2"/>
  <c r="B30" i="2"/>
  <c r="B26" i="2"/>
  <c r="C13" i="13"/>
  <c r="C19" i="13"/>
  <c r="B22" i="13"/>
  <c r="D22" i="13"/>
  <c r="E22" i="13"/>
  <c r="F14" i="12"/>
  <c r="E14" i="12"/>
  <c r="G28" i="12"/>
  <c r="H11" i="12"/>
  <c r="G27" i="12"/>
  <c r="H9" i="12"/>
  <c r="D27" i="12"/>
  <c r="E27" i="12"/>
  <c r="F27" i="12"/>
  <c r="D28" i="12"/>
  <c r="C28" i="12"/>
  <c r="E28" i="12"/>
  <c r="F28" i="12"/>
  <c r="H28" i="12"/>
  <c r="I28" i="12"/>
  <c r="H27" i="12"/>
  <c r="I27" i="12"/>
  <c r="D20" i="12"/>
  <c r="D21" i="12"/>
  <c r="E21" i="12"/>
  <c r="G24" i="12"/>
  <c r="D24" i="12"/>
  <c r="H24" i="12"/>
  <c r="I24" i="12"/>
  <c r="K25" i="1"/>
  <c r="C20" i="12"/>
  <c r="L25" i="1"/>
  <c r="C21" i="12"/>
  <c r="C24" i="12"/>
  <c r="E24" i="12"/>
  <c r="F24" i="12"/>
  <c r="E17" i="12"/>
  <c r="D17" i="12"/>
  <c r="C17" i="12"/>
  <c r="H11" i="4"/>
  <c r="F14" i="4"/>
  <c r="E14" i="4"/>
  <c r="G28" i="4"/>
  <c r="D20" i="4"/>
  <c r="E20" i="4"/>
  <c r="D21" i="4"/>
  <c r="E21" i="4"/>
  <c r="G24" i="4"/>
  <c r="E17" i="4"/>
  <c r="G33" i="4"/>
  <c r="G29" i="4"/>
  <c r="G34" i="4"/>
  <c r="G27" i="4"/>
  <c r="G32" i="4"/>
  <c r="H10" i="4"/>
  <c r="D29" i="4"/>
  <c r="D24" i="4"/>
  <c r="C17" i="4"/>
  <c r="D34" i="4"/>
  <c r="H34" i="4"/>
  <c r="I34" i="4"/>
  <c r="H9" i="4"/>
  <c r="D28" i="4"/>
  <c r="D33" i="4"/>
  <c r="H33" i="4"/>
  <c r="I33" i="4"/>
  <c r="D27" i="4"/>
  <c r="D32" i="4"/>
  <c r="H32" i="4"/>
  <c r="I32" i="4"/>
  <c r="H28" i="4"/>
  <c r="I28" i="4"/>
  <c r="H29" i="4"/>
  <c r="I29" i="4"/>
  <c r="H27" i="4"/>
  <c r="I27" i="4"/>
  <c r="H24" i="4"/>
  <c r="I24" i="4"/>
  <c r="F39" i="4"/>
  <c r="F40" i="4"/>
  <c r="F38" i="4"/>
  <c r="C29" i="4"/>
  <c r="C28" i="4"/>
  <c r="E28" i="4"/>
  <c r="F28" i="4"/>
  <c r="E29" i="4"/>
  <c r="F29" i="4"/>
  <c r="C27" i="4"/>
  <c r="E27" i="4"/>
  <c r="F27" i="4"/>
  <c r="C20" i="4"/>
  <c r="C21" i="4"/>
  <c r="C24" i="4"/>
  <c r="C34" i="4"/>
  <c r="G40" i="4"/>
  <c r="G41" i="4"/>
  <c r="C33" i="4"/>
  <c r="G39" i="4"/>
  <c r="C32" i="4"/>
  <c r="G38" i="4"/>
  <c r="E34" i="4"/>
  <c r="E33" i="4"/>
  <c r="F33" i="4"/>
  <c r="F34" i="4"/>
  <c r="E32" i="4"/>
  <c r="F32" i="4"/>
  <c r="E24" i="4"/>
  <c r="F24" i="4"/>
  <c r="D17" i="4"/>
  <c r="D41" i="4"/>
  <c r="E41" i="4"/>
  <c r="F41" i="4"/>
  <c r="C41" i="4"/>
  <c r="E19" i="1"/>
  <c r="M81" i="3"/>
  <c r="D38" i="3"/>
  <c r="M80" i="3"/>
  <c r="D34" i="3"/>
  <c r="M79" i="3"/>
  <c r="M78" i="3"/>
  <c r="M77" i="3"/>
  <c r="D40" i="3"/>
  <c r="M76" i="3"/>
  <c r="M75" i="3"/>
  <c r="D36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49" i="3"/>
  <c r="M60" i="3"/>
  <c r="M59" i="3"/>
  <c r="M58" i="3"/>
  <c r="M57" i="3"/>
  <c r="M56" i="3"/>
  <c r="M55" i="3"/>
  <c r="N40" i="3"/>
  <c r="N38" i="3"/>
  <c r="N36" i="3"/>
  <c r="N34" i="3"/>
  <c r="S32" i="3"/>
  <c r="R32" i="3"/>
  <c r="Q32" i="3"/>
  <c r="P32" i="3"/>
  <c r="O32" i="3"/>
  <c r="N32" i="3"/>
  <c r="D19" i="1"/>
  <c r="I32" i="3"/>
  <c r="H32" i="3"/>
  <c r="G32" i="3"/>
  <c r="F32" i="3"/>
  <c r="E32" i="3"/>
  <c r="D32" i="3"/>
  <c r="E40" i="1"/>
  <c r="E46" i="1"/>
  <c r="E41" i="1"/>
  <c r="E47" i="1"/>
  <c r="E39" i="1"/>
  <c r="E45" i="1"/>
  <c r="C32" i="1"/>
  <c r="D32" i="1"/>
  <c r="C40" i="1"/>
  <c r="C46" i="1"/>
  <c r="D46" i="1"/>
  <c r="L26" i="1"/>
  <c r="D33" i="1"/>
  <c r="K26" i="1"/>
  <c r="C33" i="1"/>
  <c r="C41" i="1"/>
  <c r="C47" i="1"/>
  <c r="D47" i="1"/>
  <c r="K24" i="1"/>
  <c r="C31" i="1"/>
  <c r="L24" i="1"/>
  <c r="D31" i="1"/>
  <c r="C39" i="1"/>
  <c r="C45" i="1"/>
  <c r="D45" i="1"/>
  <c r="D40" i="1"/>
  <c r="D41" i="1"/>
  <c r="D39" i="1"/>
  <c r="F47" i="1"/>
  <c r="H47" i="1"/>
  <c r="J47" i="1"/>
  <c r="F40" i="1"/>
  <c r="G47" i="1"/>
  <c r="I47" i="1"/>
  <c r="F46" i="1"/>
  <c r="H46" i="1"/>
  <c r="J46" i="1"/>
  <c r="F39" i="1"/>
  <c r="G46" i="1"/>
  <c r="I46" i="1"/>
  <c r="F45" i="1"/>
  <c r="H45" i="1"/>
  <c r="J45" i="1"/>
  <c r="G45" i="1"/>
  <c r="I45" i="1"/>
  <c r="F41" i="1"/>
  <c r="N24" i="1"/>
  <c r="N25" i="1"/>
  <c r="N26" i="1"/>
  <c r="M26" i="1"/>
  <c r="M24" i="1"/>
  <c r="M25" i="1"/>
  <c r="H85" i="1"/>
  <c r="J85" i="1"/>
  <c r="G85" i="1"/>
  <c r="I85" i="1"/>
  <c r="H84" i="1"/>
  <c r="J84" i="1"/>
  <c r="G84" i="1"/>
  <c r="I84" i="1"/>
  <c r="H83" i="1"/>
  <c r="J83" i="1"/>
  <c r="G83" i="1"/>
  <c r="I83" i="1"/>
  <c r="H79" i="1"/>
  <c r="J79" i="1"/>
  <c r="G79" i="1"/>
  <c r="I79" i="1"/>
  <c r="H78" i="1"/>
  <c r="J78" i="1"/>
  <c r="G78" i="1"/>
  <c r="I78" i="1"/>
  <c r="H77" i="1"/>
  <c r="J77" i="1"/>
  <c r="G77" i="1"/>
  <c r="I77" i="1"/>
  <c r="H60" i="1"/>
  <c r="J60" i="1"/>
  <c r="G60" i="1"/>
  <c r="I60" i="1"/>
  <c r="H59" i="1"/>
  <c r="J59" i="1"/>
  <c r="G59" i="1"/>
  <c r="I59" i="1"/>
  <c r="H58" i="1"/>
  <c r="J58" i="1"/>
  <c r="G58" i="1"/>
  <c r="I58" i="1"/>
  <c r="H66" i="1"/>
  <c r="J66" i="1"/>
  <c r="G66" i="1"/>
  <c r="I66" i="1"/>
  <c r="H65" i="1"/>
  <c r="J65" i="1"/>
  <c r="G65" i="1"/>
  <c r="I65" i="1"/>
  <c r="H64" i="1"/>
  <c r="J64" i="1"/>
  <c r="G64" i="1"/>
  <c r="I64" i="1"/>
  <c r="G39" i="1"/>
  <c r="H39" i="1"/>
  <c r="I39" i="1"/>
  <c r="J39" i="1"/>
  <c r="G40" i="1"/>
  <c r="H40" i="1"/>
  <c r="I40" i="1"/>
  <c r="J40" i="1"/>
  <c r="G41" i="1"/>
  <c r="H41" i="1"/>
  <c r="I41" i="1"/>
  <c r="J41" i="1"/>
  <c r="H32" i="1"/>
  <c r="J32" i="1"/>
  <c r="H33" i="1"/>
  <c r="J33" i="1"/>
  <c r="H31" i="1"/>
  <c r="J31" i="1"/>
  <c r="G32" i="1"/>
  <c r="I32" i="1"/>
  <c r="G33" i="1"/>
  <c r="I33" i="1"/>
  <c r="G31" i="1"/>
  <c r="I31" i="1"/>
  <c r="D5" i="5"/>
  <c r="D4" i="5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93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64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36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8" i="7"/>
  <c r="C115" i="7"/>
  <c r="C116" i="7"/>
  <c r="C117" i="7"/>
  <c r="C118" i="7"/>
  <c r="C64" i="7"/>
  <c r="C65" i="7"/>
  <c r="C66" i="7"/>
  <c r="C67" i="7"/>
  <c r="C59" i="7"/>
  <c r="C60" i="7"/>
  <c r="C61" i="7"/>
  <c r="C62" i="7"/>
  <c r="C31" i="7"/>
  <c r="C32" i="7"/>
  <c r="C33" i="7"/>
  <c r="C34" i="7"/>
  <c r="C36" i="7"/>
  <c r="C37" i="7"/>
  <c r="C38" i="7"/>
  <c r="C39" i="7"/>
  <c r="C9" i="7"/>
  <c r="C10" i="7"/>
  <c r="C11" i="7"/>
  <c r="C12" i="7"/>
  <c r="C88" i="7"/>
  <c r="C89" i="7"/>
  <c r="C90" i="7"/>
  <c r="C91" i="7"/>
  <c r="C93" i="7"/>
  <c r="C94" i="7"/>
  <c r="C95" i="7"/>
  <c r="C96" i="7"/>
  <c r="C106" i="7"/>
  <c r="C107" i="7"/>
  <c r="C108" i="7"/>
  <c r="C109" i="7"/>
  <c r="C110" i="7"/>
  <c r="C111" i="7"/>
  <c r="C112" i="7"/>
  <c r="C113" i="7"/>
  <c r="C114" i="7"/>
  <c r="C98" i="7"/>
  <c r="C99" i="7"/>
  <c r="C100" i="7"/>
  <c r="C101" i="7"/>
  <c r="C102" i="7"/>
  <c r="C103" i="7"/>
  <c r="C104" i="7"/>
  <c r="C105" i="7"/>
  <c r="C97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68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40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A11" i="5"/>
  <c r="B12" i="5"/>
  <c r="B11" i="5"/>
  <c r="C11" i="5"/>
  <c r="D11" i="5"/>
  <c r="E11" i="5"/>
  <c r="A9" i="5"/>
  <c r="B9" i="5"/>
  <c r="C9" i="5"/>
  <c r="D9" i="5"/>
  <c r="E9" i="5"/>
</calcChain>
</file>

<file path=xl/sharedStrings.xml><?xml version="1.0" encoding="utf-8"?>
<sst xmlns="http://schemas.openxmlformats.org/spreadsheetml/2006/main" count="477" uniqueCount="184">
  <si>
    <r>
      <rPr>
        <sz val="11"/>
        <color theme="1"/>
        <rFont val="ＭＳ Ｐ明朝"/>
        <family val="1"/>
        <charset val="128"/>
      </rPr>
      <t>試験片</t>
    </r>
    <rPh sb="0" eb="2">
      <t>シケン</t>
    </rPh>
    <rPh sb="2" eb="3">
      <t>ヘン</t>
    </rPh>
    <phoneticPr fontId="1"/>
  </si>
  <si>
    <r>
      <rPr>
        <sz val="11"/>
        <color theme="1"/>
        <rFont val="ＭＳ Ｐ明朝"/>
        <family val="1"/>
        <charset val="128"/>
      </rPr>
      <t>幅</t>
    </r>
    <r>
      <rPr>
        <sz val="11"/>
        <color theme="1"/>
        <rFont val="Times New Roman"/>
        <family val="1"/>
      </rPr>
      <t>b [mm]</t>
    </r>
    <rPh sb="0" eb="1">
      <t>ハバ</t>
    </rPh>
    <phoneticPr fontId="1"/>
  </si>
  <si>
    <r>
      <rPr>
        <sz val="11"/>
        <color theme="1"/>
        <rFont val="ＭＳ Ｐ明朝"/>
        <family val="1"/>
        <charset val="128"/>
      </rPr>
      <t>厚さ</t>
    </r>
    <r>
      <rPr>
        <sz val="11"/>
        <color theme="1"/>
        <rFont val="Times New Roman"/>
        <family val="1"/>
      </rPr>
      <t>t [mm]</t>
    </r>
    <rPh sb="0" eb="1">
      <t>アツ</t>
    </rPh>
    <phoneticPr fontId="1"/>
  </si>
  <si>
    <t>レベルバー毎での要素数の表</t>
    <rPh sb="5" eb="6">
      <t>ゴト</t>
    </rPh>
    <rPh sb="8" eb="10">
      <t>ヨウソ</t>
    </rPh>
    <rPh sb="10" eb="11">
      <t>スウ</t>
    </rPh>
    <rPh sb="12" eb="13">
      <t>ヒョウ</t>
    </rPh>
    <phoneticPr fontId="1"/>
  </si>
  <si>
    <t>レベルバー</t>
  </si>
  <si>
    <t>要素数</t>
    <rPh sb="0" eb="2">
      <t>ヨウソ</t>
    </rPh>
    <rPh sb="2" eb="3">
      <t>スウ</t>
    </rPh>
    <phoneticPr fontId="1"/>
  </si>
  <si>
    <r>
      <t>最大応力σ</t>
    </r>
    <r>
      <rPr>
        <vertAlign val="subscript"/>
        <sz val="10.5"/>
        <color theme="1"/>
        <rFont val="ＭＳ Ｐ明朝"/>
        <family val="1"/>
        <charset val="128"/>
      </rPr>
      <t xml:space="preserve">max </t>
    </r>
    <r>
      <rPr>
        <sz val="10.5"/>
        <color theme="1"/>
        <rFont val="ＭＳ Ｐ明朝"/>
        <family val="1"/>
        <charset val="128"/>
      </rPr>
      <t>[GPa]</t>
    </r>
    <rPh sb="0" eb="2">
      <t>サイダイ</t>
    </rPh>
    <rPh sb="2" eb="4">
      <t>オウリョク</t>
    </rPh>
    <phoneticPr fontId="1"/>
  </si>
  <si>
    <t>応力集中係数κ</t>
    <rPh sb="0" eb="2">
      <t>オウリョク</t>
    </rPh>
    <rPh sb="2" eb="4">
      <t>シュウチュウ</t>
    </rPh>
    <rPh sb="4" eb="6">
      <t>ケイスウ</t>
    </rPh>
    <phoneticPr fontId="1"/>
  </si>
  <si>
    <t>孔径2a [m]</t>
    <rPh sb="0" eb="2">
      <t>コウケイ</t>
    </rPh>
    <phoneticPr fontId="1"/>
  </si>
  <si>
    <t>孔径比</t>
    <rPh sb="0" eb="2">
      <t>コウケイ</t>
    </rPh>
    <rPh sb="2" eb="3">
      <t>ヒ</t>
    </rPh>
    <phoneticPr fontId="1"/>
  </si>
  <si>
    <t>応力集中係数と孔径比の関係</t>
  </si>
  <si>
    <t>応力集中係数と要素数の関係</t>
  </si>
  <si>
    <t>孔径比</t>
  </si>
  <si>
    <t>ダイヤルゲージの読み</t>
  </si>
  <si>
    <r>
      <t>1</t>
    </r>
    <r>
      <rPr>
        <sz val="10.5"/>
        <color theme="1"/>
        <rFont val="ＭＳ Ｐ明朝"/>
        <family val="1"/>
        <charset val="128"/>
      </rPr>
      <t>回目</t>
    </r>
  </si>
  <si>
    <t>往路</t>
  </si>
  <si>
    <t>d</t>
  </si>
  <si>
    <t>δ</t>
  </si>
  <si>
    <t>復路</t>
  </si>
  <si>
    <r>
      <t>2</t>
    </r>
    <r>
      <rPr>
        <sz val="10.5"/>
        <color theme="1"/>
        <rFont val="ＭＳ Ｐ明朝"/>
        <family val="1"/>
        <charset val="128"/>
      </rPr>
      <t>回目</t>
    </r>
  </si>
  <si>
    <r>
      <t>3</t>
    </r>
    <r>
      <rPr>
        <sz val="10.5"/>
        <color theme="1"/>
        <rFont val="ＭＳ Ｐ明朝"/>
        <family val="1"/>
        <charset val="128"/>
      </rPr>
      <t>回目</t>
    </r>
  </si>
  <si>
    <r>
      <t>d [mm]</t>
    </r>
    <r>
      <rPr>
        <sz val="10.5"/>
        <color theme="1"/>
        <rFont val="ＭＳ Ｐ明朝"/>
        <family val="1"/>
        <charset val="128"/>
      </rPr>
      <t>とたわみ</t>
    </r>
    <r>
      <rPr>
        <sz val="10.5"/>
        <color theme="1"/>
        <rFont val="Times New Roman"/>
        <family val="1"/>
      </rPr>
      <t>δ [mm]</t>
    </r>
  </si>
  <si>
    <r>
      <t>荷重</t>
    </r>
    <r>
      <rPr>
        <sz val="10.5"/>
        <color theme="1"/>
        <rFont val="Times New Roman"/>
        <family val="1"/>
      </rPr>
      <t>P [N]</t>
    </r>
  </si>
  <si>
    <t>接続法</t>
  </si>
  <si>
    <t>平均</t>
  </si>
  <si>
    <t>理論値</t>
  </si>
  <si>
    <r>
      <t>1</t>
    </r>
    <r>
      <rPr>
        <sz val="10.5"/>
        <color theme="1"/>
        <rFont val="ＭＳ Ｐ明朝"/>
        <family val="1"/>
        <charset val="128"/>
      </rPr>
      <t>ゲージ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ＭＳ Ｐ明朝"/>
        <family val="1"/>
        <charset val="128"/>
      </rPr>
      <t>線法</t>
    </r>
  </si>
  <si>
    <r>
      <t>1</t>
    </r>
    <r>
      <rPr>
        <sz val="10.5"/>
        <color theme="1"/>
        <rFont val="ＭＳ Ｐ明朝"/>
        <family val="1"/>
        <charset val="128"/>
      </rPr>
      <t>ゲージ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ＭＳ Ｐ明朝"/>
        <family val="1"/>
        <charset val="128"/>
      </rPr>
      <t>線法</t>
    </r>
  </si>
  <si>
    <r>
      <t>ひずみ　[</t>
    </r>
    <r>
      <rPr>
        <sz val="10.5"/>
        <color theme="1"/>
        <rFont val="Times New Roman"/>
        <family val="1"/>
      </rPr>
      <t>×10</t>
    </r>
    <r>
      <rPr>
        <vertAlign val="superscript"/>
        <sz val="10.5"/>
        <color theme="1"/>
        <rFont val="Times New Roman"/>
        <family val="1"/>
      </rPr>
      <t>-6</t>
    </r>
    <r>
      <rPr>
        <sz val="10.5"/>
        <color theme="1"/>
        <rFont val="Times New Roman"/>
        <family val="1"/>
      </rPr>
      <t xml:space="preserve"> m]</t>
    </r>
  </si>
  <si>
    <r>
      <t>2</t>
    </r>
    <r>
      <rPr>
        <sz val="10.5"/>
        <color theme="1"/>
        <rFont val="ＭＳ Ｐ明朝"/>
        <family val="1"/>
        <charset val="128"/>
      </rPr>
      <t>ゲージアクティブ法(2倍値)</t>
    </r>
  </si>
  <si>
    <r>
      <t>測定位置</t>
    </r>
    <r>
      <rPr>
        <sz val="10.5"/>
        <color theme="1"/>
        <rFont val="Times New Roman"/>
        <family val="1"/>
      </rPr>
      <t>(m)</t>
    </r>
  </si>
  <si>
    <r>
      <t>たわみの測定値</t>
    </r>
    <r>
      <rPr>
        <sz val="10.5"/>
        <color theme="1"/>
        <rFont val="Times New Roman"/>
        <family val="1"/>
      </rPr>
      <t>(×10</t>
    </r>
    <r>
      <rPr>
        <vertAlign val="superscript"/>
        <sz val="10.5"/>
        <color theme="1"/>
        <rFont val="Times New Roman"/>
        <family val="1"/>
      </rPr>
      <t>-3</t>
    </r>
    <r>
      <rPr>
        <sz val="10.5"/>
        <color theme="1"/>
        <rFont val="Times New Roman"/>
        <family val="1"/>
      </rPr>
      <t>m)</t>
    </r>
  </si>
  <si>
    <r>
      <t>理論値</t>
    </r>
    <r>
      <rPr>
        <sz val="10.5"/>
        <color theme="1"/>
        <rFont val="Times New Roman"/>
        <family val="1"/>
      </rPr>
      <t>(×10</t>
    </r>
    <r>
      <rPr>
        <vertAlign val="superscript"/>
        <sz val="10.5"/>
        <color theme="1"/>
        <rFont val="Times New Roman"/>
        <family val="1"/>
      </rPr>
      <t>-3</t>
    </r>
    <r>
      <rPr>
        <sz val="10.5"/>
        <color theme="1"/>
        <rFont val="Times New Roman"/>
        <family val="1"/>
      </rPr>
      <t>m)</t>
    </r>
  </si>
  <si>
    <t>測定値</t>
    <rPh sb="0" eb="2">
      <t>ソクテイ</t>
    </rPh>
    <rPh sb="2" eb="3">
      <t>アタイ</t>
    </rPh>
    <phoneticPr fontId="1"/>
  </si>
  <si>
    <t>支点からの距離x</t>
    <rPh sb="0" eb="2">
      <t>シテン</t>
    </rPh>
    <rPh sb="5" eb="7">
      <t>キョリ</t>
    </rPh>
    <phoneticPr fontId="1"/>
  </si>
  <si>
    <t>計測種</t>
    <rPh sb="0" eb="2">
      <t>ケイソク</t>
    </rPh>
    <rPh sb="2" eb="3">
      <t>シュ</t>
    </rPh>
    <phoneticPr fontId="1"/>
  </si>
  <si>
    <t>たわみ [×10-3  m]</t>
    <phoneticPr fontId="1"/>
  </si>
  <si>
    <t>ひずみ [×10-6  m]</t>
    <phoneticPr fontId="1"/>
  </si>
  <si>
    <t xml:space="preserve">0.22 [m] </t>
    <phoneticPr fontId="1"/>
  </si>
  <si>
    <t xml:space="preserve">0.32 [m] </t>
    <phoneticPr fontId="1"/>
  </si>
  <si>
    <t xml:space="preserve">0.35 [m] </t>
    <phoneticPr fontId="1"/>
  </si>
  <si>
    <t>じ</t>
    <phoneticPr fontId="1"/>
  </si>
  <si>
    <t>x</t>
    <phoneticPr fontId="1"/>
  </si>
  <si>
    <t>M</t>
    <phoneticPr fontId="1"/>
  </si>
  <si>
    <t>y</t>
    <phoneticPr fontId="1"/>
  </si>
  <si>
    <t>RBの計算</t>
    <rPh sb="3" eb="5">
      <t>ケイサン</t>
    </rPh>
    <phoneticPr fontId="1"/>
  </si>
  <si>
    <t>Q</t>
    <phoneticPr fontId="1"/>
  </si>
  <si>
    <t>aaa</t>
    <phoneticPr fontId="1"/>
  </si>
  <si>
    <t>測定値</t>
    <rPh sb="0" eb="2">
      <t>ソクテイ</t>
    </rPh>
    <rPh sb="2" eb="3">
      <t>アタイ</t>
    </rPh>
    <phoneticPr fontId="1"/>
  </si>
  <si>
    <t>断面二次モーメント</t>
    <rPh sb="0" eb="2">
      <t>ダンメン</t>
    </rPh>
    <rPh sb="2" eb="4">
      <t>ニジ</t>
    </rPh>
    <phoneticPr fontId="1"/>
  </si>
  <si>
    <r>
      <rPr>
        <sz val="11"/>
        <color theme="1"/>
        <rFont val="ＭＳ Ｐ明朝"/>
        <family val="1"/>
        <charset val="128"/>
      </rPr>
      <t>試験片寸法とその誤差率</t>
    </r>
    <rPh sb="0" eb="2">
      <t>シケン</t>
    </rPh>
    <rPh sb="2" eb="3">
      <t>ヘン</t>
    </rPh>
    <rPh sb="3" eb="5">
      <t>スンポウ</t>
    </rPh>
    <rPh sb="8" eb="10">
      <t>ゴサ</t>
    </rPh>
    <rPh sb="10" eb="11">
      <t>リツ</t>
    </rPh>
    <phoneticPr fontId="1"/>
  </si>
  <si>
    <r>
      <rPr>
        <sz val="11"/>
        <color theme="1"/>
        <rFont val="ＭＳ Ｐ明朝"/>
        <family val="1"/>
        <charset val="128"/>
      </rPr>
      <t>測定値</t>
    </r>
    <rPh sb="0" eb="2">
      <t>ソクテイ</t>
    </rPh>
    <rPh sb="2" eb="3">
      <t>アタイ</t>
    </rPh>
    <phoneticPr fontId="1"/>
  </si>
  <si>
    <r>
      <rPr>
        <sz val="11"/>
        <color theme="1"/>
        <rFont val="ＭＳ Ｐ明朝"/>
        <family val="1"/>
        <charset val="128"/>
      </rPr>
      <t>理想値</t>
    </r>
    <rPh sb="0" eb="2">
      <t>リソウ</t>
    </rPh>
    <rPh sb="2" eb="3">
      <t>アタイ</t>
    </rPh>
    <phoneticPr fontId="1"/>
  </si>
  <si>
    <r>
      <rPr>
        <sz val="11"/>
        <color theme="1"/>
        <rFont val="ＭＳ Ｐ明朝"/>
        <family val="1"/>
        <charset val="128"/>
      </rPr>
      <t>誤差</t>
    </r>
    <rPh sb="0" eb="2">
      <t>ゴサ</t>
    </rPh>
    <phoneticPr fontId="1"/>
  </si>
  <si>
    <r>
      <rPr>
        <sz val="11"/>
        <color theme="1"/>
        <rFont val="ＭＳ Ｐ明朝"/>
        <family val="1"/>
        <charset val="128"/>
      </rPr>
      <t>誤差率</t>
    </r>
    <rPh sb="0" eb="2">
      <t>ゴサ</t>
    </rPh>
    <rPh sb="2" eb="3">
      <t>リツ</t>
    </rPh>
    <phoneticPr fontId="1"/>
  </si>
  <si>
    <r>
      <rPr>
        <sz val="11"/>
        <color theme="1"/>
        <rFont val="ＭＳ Ｐ明朝"/>
        <family val="1"/>
        <charset val="128"/>
      </rPr>
      <t>注意事項</t>
    </r>
    <rPh sb="0" eb="2">
      <t>チュウイ</t>
    </rPh>
    <rPh sb="2" eb="4">
      <t>ジコウ</t>
    </rPh>
    <phoneticPr fontId="1"/>
  </si>
  <si>
    <r>
      <rPr>
        <sz val="11"/>
        <color theme="1"/>
        <rFont val="ＭＳ Ｐ明朝"/>
        <family val="1"/>
        <charset val="128"/>
      </rPr>
      <t>入力範囲</t>
    </r>
    <rPh sb="0" eb="2">
      <t>ニュウリョク</t>
    </rPh>
    <rPh sb="2" eb="4">
      <t>ハンイ</t>
    </rPh>
    <phoneticPr fontId="1"/>
  </si>
  <si>
    <r>
      <rPr>
        <sz val="11"/>
        <color theme="1"/>
        <rFont val="ＭＳ Ｐ明朝"/>
        <family val="1"/>
        <charset val="128"/>
      </rPr>
      <t>I</t>
    </r>
    <r>
      <rPr>
        <sz val="11"/>
        <color theme="1"/>
        <rFont val="Times New Roman"/>
        <family val="1"/>
      </rPr>
      <t xml:space="preserve"> [m</t>
    </r>
    <r>
      <rPr>
        <vertAlign val="superscript"/>
        <sz val="11"/>
        <color theme="1"/>
        <rFont val="Times New Roman"/>
        <family val="1"/>
      </rPr>
      <t>4</t>
    </r>
    <r>
      <rPr>
        <sz val="11"/>
        <color theme="1"/>
        <rFont val="Times New Roman"/>
        <family val="1"/>
      </rPr>
      <t>]</t>
    </r>
    <phoneticPr fontId="1"/>
  </si>
  <si>
    <t>ヤング率</t>
    <rPh sb="3" eb="4">
      <t>リツ</t>
    </rPh>
    <phoneticPr fontId="1"/>
  </si>
  <si>
    <t>断面二次モーメントとその誤差率</t>
    <rPh sb="0" eb="2">
      <t>ダンメン</t>
    </rPh>
    <rPh sb="2" eb="4">
      <t>ニジ</t>
    </rPh>
    <rPh sb="12" eb="14">
      <t>ゴサ</t>
    </rPh>
    <rPh sb="14" eb="15">
      <t>リツ</t>
    </rPh>
    <phoneticPr fontId="1"/>
  </si>
  <si>
    <t>測定者誤差の影響</t>
    <rPh sb="0" eb="2">
      <t>ソクテイ</t>
    </rPh>
    <rPh sb="2" eb="3">
      <t>シャ</t>
    </rPh>
    <rPh sb="3" eb="5">
      <t>ゴサ</t>
    </rPh>
    <rPh sb="6" eb="8">
      <t>エイキョウ</t>
    </rPh>
    <phoneticPr fontId="1"/>
  </si>
  <si>
    <r>
      <rPr>
        <sz val="11"/>
        <color theme="1"/>
        <rFont val="ＭＳ Ｐ明朝"/>
        <family val="1"/>
        <charset val="128"/>
      </rPr>
      <t>実験</t>
    </r>
    <r>
      <rPr>
        <sz val="11"/>
        <color theme="1"/>
        <rFont val="Times New Roman"/>
        <family val="1"/>
      </rPr>
      <t>1-</t>
    </r>
    <r>
      <rPr>
        <sz val="11"/>
        <color theme="1"/>
        <rFont val="ＭＳ Ｐ明朝"/>
        <family val="1"/>
        <charset val="128"/>
      </rPr>
      <t>試験片寸法</t>
    </r>
    <rPh sb="0" eb="2">
      <t>ジッケン</t>
    </rPh>
    <rPh sb="4" eb="6">
      <t>シケン</t>
    </rPh>
    <rPh sb="6" eb="7">
      <t>ヘン</t>
    </rPh>
    <rPh sb="7" eb="9">
      <t>スンポウ</t>
    </rPh>
    <phoneticPr fontId="1"/>
  </si>
  <si>
    <t>測定者誤差の仮定</t>
    <rPh sb="0" eb="2">
      <t>ソクテイ</t>
    </rPh>
    <rPh sb="2" eb="3">
      <t>シャ</t>
    </rPh>
    <rPh sb="3" eb="5">
      <t>ゴサ</t>
    </rPh>
    <rPh sb="6" eb="8">
      <t>カテイ</t>
    </rPh>
    <phoneticPr fontId="1"/>
  </si>
  <si>
    <t>自動計算範囲</t>
    <rPh sb="0" eb="2">
      <t>ジドウ</t>
    </rPh>
    <rPh sb="2" eb="4">
      <t>ケイサン</t>
    </rPh>
    <rPh sb="4" eb="6">
      <t>ハンイ</t>
    </rPh>
    <phoneticPr fontId="1"/>
  </si>
  <si>
    <t>自動計算範囲は何も入力しないこと。</t>
    <rPh sb="0" eb="2">
      <t>ジドウ</t>
    </rPh>
    <rPh sb="2" eb="4">
      <t>ケイサン</t>
    </rPh>
    <rPh sb="4" eb="6">
      <t>ハンイ</t>
    </rPh>
    <rPh sb="7" eb="8">
      <t>ナニ</t>
    </rPh>
    <rPh sb="9" eb="11">
      <t>ニュウリョク</t>
    </rPh>
    <phoneticPr fontId="1"/>
  </si>
  <si>
    <t>計測器誤差の影響</t>
    <rPh sb="0" eb="2">
      <t>ケイソク</t>
    </rPh>
    <rPh sb="3" eb="5">
      <t>ゴサ</t>
    </rPh>
    <rPh sb="6" eb="8">
      <t>エイキョウ</t>
    </rPh>
    <phoneticPr fontId="1"/>
  </si>
  <si>
    <t>試験片寸法</t>
    <rPh sb="0" eb="2">
      <t>シケン</t>
    </rPh>
    <rPh sb="2" eb="3">
      <t>ヘン</t>
    </rPh>
    <rPh sb="3" eb="5">
      <t>スンポウ</t>
    </rPh>
    <phoneticPr fontId="1"/>
  </si>
  <si>
    <t>測定者誤差の設定</t>
    <rPh sb="0" eb="2">
      <t>ソクテイ</t>
    </rPh>
    <rPh sb="2" eb="3">
      <t>シャ</t>
    </rPh>
    <rPh sb="3" eb="5">
      <t>ゴサ</t>
    </rPh>
    <rPh sb="6" eb="8">
      <t>セッテイ</t>
    </rPh>
    <phoneticPr fontId="1"/>
  </si>
  <si>
    <r>
      <rPr>
        <sz val="11"/>
        <color theme="1"/>
        <rFont val="ＭＳ Ｐ明朝"/>
        <family val="1"/>
        <charset val="128"/>
      </rPr>
      <t>ノギス</t>
    </r>
    <r>
      <rPr>
        <sz val="11"/>
        <color theme="1"/>
        <rFont val="Times New Roman"/>
        <family val="1"/>
      </rPr>
      <t xml:space="preserve"> [mm]</t>
    </r>
    <phoneticPr fontId="1"/>
  </si>
  <si>
    <r>
      <rPr>
        <sz val="11"/>
        <color theme="1"/>
        <rFont val="ＭＳ Ｐ明朝"/>
        <family val="1"/>
        <charset val="128"/>
      </rPr>
      <t>マイクロメーター</t>
    </r>
    <r>
      <rPr>
        <sz val="11"/>
        <color theme="1"/>
        <rFont val="Times New Roman"/>
        <family val="1"/>
      </rPr>
      <t xml:space="preserve"> [mm]</t>
    </r>
    <phoneticPr fontId="1"/>
  </si>
  <si>
    <r>
      <rPr>
        <sz val="11"/>
        <color theme="1"/>
        <rFont val="ＭＳ Ｐ明朝"/>
        <family val="1"/>
        <charset val="128"/>
      </rPr>
      <t>マイクロメーター</t>
    </r>
    <r>
      <rPr>
        <sz val="11"/>
        <color theme="1"/>
        <rFont val="Times New Roman"/>
        <family val="1"/>
      </rPr>
      <t xml:space="preserve"> [mm]</t>
    </r>
    <phoneticPr fontId="1"/>
  </si>
  <si>
    <t>測定1回目</t>
    <rPh sb="0" eb="2">
      <t>ソクテイ</t>
    </rPh>
    <rPh sb="3" eb="5">
      <t>カイメ</t>
    </rPh>
    <phoneticPr fontId="1"/>
  </si>
  <si>
    <t>平均値</t>
    <rPh sb="0" eb="2">
      <t>ヘイキン</t>
    </rPh>
    <rPh sb="2" eb="3">
      <t>アタイ</t>
    </rPh>
    <phoneticPr fontId="1"/>
  </si>
  <si>
    <t>分散(ばらつき)</t>
    <rPh sb="0" eb="2">
      <t>ブンサン</t>
    </rPh>
    <phoneticPr fontId="1"/>
  </si>
  <si>
    <t>測定2回目</t>
    <rPh sb="0" eb="2">
      <t>ソクテイ</t>
    </rPh>
    <rPh sb="3" eb="5">
      <t>カイメ</t>
    </rPh>
    <phoneticPr fontId="1"/>
  </si>
  <si>
    <t>測定3回目</t>
    <rPh sb="0" eb="2">
      <t>ソクテイ</t>
    </rPh>
    <rPh sb="3" eb="5">
      <t>カイメ</t>
    </rPh>
    <phoneticPr fontId="1"/>
  </si>
  <si>
    <t>測定4回目</t>
    <rPh sb="0" eb="2">
      <t>ソクテイ</t>
    </rPh>
    <rPh sb="3" eb="5">
      <t>カイメ</t>
    </rPh>
    <phoneticPr fontId="1"/>
  </si>
  <si>
    <t>用いた材料データ</t>
    <rPh sb="0" eb="1">
      <t>モチ</t>
    </rPh>
    <rPh sb="3" eb="5">
      <t>ザイリョウ</t>
    </rPh>
    <phoneticPr fontId="1"/>
  </si>
  <si>
    <t>材料名</t>
    <rPh sb="0" eb="2">
      <t>ザイリョウ</t>
    </rPh>
    <rPh sb="2" eb="3">
      <t>メイ</t>
    </rPh>
    <phoneticPr fontId="1"/>
  </si>
  <si>
    <t>軟鋼</t>
    <rPh sb="0" eb="2">
      <t>ナンコウ</t>
    </rPh>
    <phoneticPr fontId="1"/>
  </si>
  <si>
    <t>ポアソン比</t>
    <rPh sb="4" eb="5">
      <t>ヒ</t>
    </rPh>
    <phoneticPr fontId="1"/>
  </si>
  <si>
    <r>
      <rPr>
        <sz val="11"/>
        <color theme="1"/>
        <rFont val="ＭＳ Ｐ明朝"/>
        <family val="1"/>
        <charset val="128"/>
      </rPr>
      <t>実験</t>
    </r>
    <r>
      <rPr>
        <sz val="11"/>
        <color theme="1"/>
        <rFont val="Times New Roman"/>
        <family val="1"/>
      </rPr>
      <t>1-</t>
    </r>
    <r>
      <rPr>
        <sz val="11"/>
        <color theme="1"/>
        <rFont val="ＭＳ Ｐ明朝"/>
        <family val="1"/>
        <charset val="128"/>
      </rPr>
      <t>荷重とたわみの測定結果</t>
    </r>
    <rPh sb="0" eb="2">
      <t>ジッケン</t>
    </rPh>
    <rPh sb="4" eb="6">
      <t>カジュウ</t>
    </rPh>
    <rPh sb="11" eb="13">
      <t>ソクテイ</t>
    </rPh>
    <rPh sb="13" eb="15">
      <t>ケッカ</t>
    </rPh>
    <phoneticPr fontId="1"/>
  </si>
  <si>
    <r>
      <rPr>
        <sz val="11"/>
        <color theme="1"/>
        <rFont val="ＭＳ Ｐ明朝"/>
        <family val="1"/>
        <charset val="128"/>
      </rPr>
      <t>測定値の</t>
    </r>
    <r>
      <rPr>
        <sz val="11"/>
        <color theme="1"/>
        <rFont val="Times New Roman"/>
        <family val="1"/>
      </rPr>
      <t>P/</t>
    </r>
    <r>
      <rPr>
        <sz val="11"/>
        <color theme="1"/>
        <rFont val="ＭＳ Ｐ明朝"/>
        <family val="1"/>
        <charset val="128"/>
      </rPr>
      <t>δを用いた場合</t>
    </r>
    <rPh sb="0" eb="2">
      <t>ソクテイ</t>
    </rPh>
    <rPh sb="2" eb="3">
      <t>アタイ</t>
    </rPh>
    <rPh sb="8" eb="9">
      <t>モチ</t>
    </rPh>
    <rPh sb="11" eb="13">
      <t>バアイ</t>
    </rPh>
    <phoneticPr fontId="1"/>
  </si>
  <si>
    <r>
      <rPr>
        <sz val="11"/>
        <color theme="1"/>
        <rFont val="ＭＳ Ｐ明朝"/>
        <family val="1"/>
        <charset val="128"/>
      </rPr>
      <t>補正値の</t>
    </r>
    <r>
      <rPr>
        <sz val="11"/>
        <color theme="1"/>
        <rFont val="Times New Roman"/>
        <family val="1"/>
      </rPr>
      <t>P/</t>
    </r>
    <r>
      <rPr>
        <sz val="11"/>
        <color theme="1"/>
        <rFont val="ＭＳ Ｐ明朝"/>
        <family val="1"/>
        <charset val="128"/>
      </rPr>
      <t>δを用いた場合</t>
    </r>
    <rPh sb="0" eb="2">
      <t>ホセイ</t>
    </rPh>
    <rPh sb="2" eb="3">
      <t>アタイ</t>
    </rPh>
    <rPh sb="8" eb="9">
      <t>モチ</t>
    </rPh>
    <rPh sb="11" eb="13">
      <t>バアイ</t>
    </rPh>
    <phoneticPr fontId="1"/>
  </si>
  <si>
    <t>測定値を用いた場合の材料データ</t>
    <rPh sb="0" eb="2">
      <t>ソクテイ</t>
    </rPh>
    <rPh sb="2" eb="3">
      <t>アタイ</t>
    </rPh>
    <rPh sb="4" eb="5">
      <t>モチ</t>
    </rPh>
    <rPh sb="7" eb="9">
      <t>バアイ</t>
    </rPh>
    <rPh sb="10" eb="12">
      <t>ザイリョウ</t>
    </rPh>
    <phoneticPr fontId="1"/>
  </si>
  <si>
    <t>補正値を用いた場合の材料データ</t>
    <rPh sb="0" eb="2">
      <t>ホセイ</t>
    </rPh>
    <rPh sb="2" eb="3">
      <t>アタイ</t>
    </rPh>
    <rPh sb="4" eb="5">
      <t>モチ</t>
    </rPh>
    <rPh sb="7" eb="9">
      <t>バアイ</t>
    </rPh>
    <rPh sb="10" eb="12">
      <t>ザイリョウ</t>
    </rPh>
    <phoneticPr fontId="1"/>
  </si>
  <si>
    <t>試験条件</t>
  </si>
  <si>
    <t>条件</t>
  </si>
  <si>
    <t>ヤング率[GPa]</t>
  </si>
  <si>
    <t>P/δ(補正前)</t>
  </si>
  <si>
    <t>P/δ(補正後)</t>
  </si>
  <si>
    <t>計測器誤差の設定</t>
  </si>
  <si>
    <t>δ（ｍｍ）</t>
    <phoneticPr fontId="1"/>
  </si>
  <si>
    <t>P (N)</t>
    <phoneticPr fontId="1"/>
  </si>
  <si>
    <t>グラフ作成用の表(補正前)</t>
  </si>
  <si>
    <t>レポート用の表(補正前)</t>
  </si>
  <si>
    <t>レポート用の表(0点補正後)/使用不可</t>
  </si>
  <si>
    <t>レポート用グラフ</t>
  </si>
  <si>
    <t>スパン長さL [m] (試験片1)</t>
  </si>
  <si>
    <t>計測器誤差の仮定</t>
  </si>
  <si>
    <t>0点補正後</t>
  </si>
  <si>
    <t>0点補正前</t>
  </si>
  <si>
    <t>レポート用表</t>
  </si>
  <si>
    <t>2ゲージ2アクティブ法</t>
  </si>
  <si>
    <t>実験2-a: ひずみゲージ接続法による測定結果の違い</t>
  </si>
  <si>
    <t>自動計算範囲は何も入力しないこと．初めに，レポート用の表とグラフ用の表を埋めること．</t>
  </si>
  <si>
    <t>※下のグラフから読み取る．</t>
  </si>
  <si>
    <t>自動計算範囲は何も入力しないこと．</t>
  </si>
  <si>
    <t>理論値算出</t>
  </si>
  <si>
    <t>各ひずみゲージの接続位置</t>
  </si>
  <si>
    <t>1ゲージ2線法</t>
  </si>
  <si>
    <t>1ゲージ3線法</t>
  </si>
  <si>
    <t>梁のスパン長さL [m]</t>
  </si>
  <si>
    <t>荷重</t>
  </si>
  <si>
    <t>荷重 [N]</t>
  </si>
  <si>
    <t>ヤング率</t>
  </si>
  <si>
    <t>ヤング率E [GPa]</t>
  </si>
  <si>
    <t>測定値</t>
  </si>
  <si>
    <t>理論値を用いた場合の材料データ</t>
  </si>
  <si>
    <t>補正値</t>
  </si>
  <si>
    <t>断面係数</t>
  </si>
  <si>
    <t>断面係数 [m^3]</t>
  </si>
  <si>
    <t>試験片2の寸法</t>
  </si>
  <si>
    <t>幅 [mm]</t>
  </si>
  <si>
    <t>厚さ [mm]</t>
  </si>
  <si>
    <t>荷重点(s1) [m]</t>
  </si>
  <si>
    <t>荷重点から右端までの距離(s2)</t>
  </si>
  <si>
    <t>誤差</t>
  </si>
  <si>
    <t>誤差率</t>
  </si>
  <si>
    <t>左端からの距離 [m](理論値)</t>
  </si>
  <si>
    <t>左端からの距離 [m](測定値)</t>
  </si>
  <si>
    <t>曲げモーメント</t>
  </si>
  <si>
    <t>ひずみ</t>
  </si>
  <si>
    <t>左端からの距離 [m](補正値)</t>
  </si>
  <si>
    <t>補正誤差(正負で入力)</t>
  </si>
  <si>
    <t>1ゲージ2線法[10^-6 m]</t>
  </si>
  <si>
    <t>1ゲージ3線法[10^-6 m]</t>
  </si>
  <si>
    <t>2ゲージ2アクティブ法[10^-6 m]</t>
  </si>
  <si>
    <t>x</t>
  </si>
  <si>
    <t>Q</t>
  </si>
  <si>
    <t>M</t>
  </si>
  <si>
    <t>補正値のグラフ</t>
  </si>
  <si>
    <t>測定値のグラフ</t>
  </si>
  <si>
    <t>理論値のグラフ</t>
  </si>
  <si>
    <r>
      <rPr>
        <sz val="11"/>
        <color theme="1"/>
        <rFont val="ＭＳ Ｐ明朝"/>
        <family val="1"/>
        <charset val="128"/>
      </rPr>
      <t>実験2</t>
    </r>
    <r>
      <rPr>
        <sz val="11"/>
        <color theme="1"/>
        <rFont val="Times New Roman"/>
        <family val="1"/>
      </rPr>
      <t>-</t>
    </r>
    <r>
      <rPr>
        <sz val="11"/>
        <color theme="1"/>
        <rFont val="ＭＳ Ｐ明朝"/>
        <family val="1"/>
        <charset val="128"/>
      </rPr>
      <t>荷重とたわみの測定結果</t>
    </r>
  </si>
  <si>
    <t>作図ボタン</t>
  </si>
  <si>
    <t>支持反力</t>
  </si>
  <si>
    <t>Ra</t>
  </si>
  <si>
    <t>Rb</t>
  </si>
  <si>
    <t>実験2-b: SFD図とBMD図の自動作成</t>
  </si>
  <si>
    <t>全ての重ね合わせグラフ</t>
  </si>
  <si>
    <t>上記の黄色いセルに任意の値を入力してから，作図スタートボタンを押してください．</t>
  </si>
  <si>
    <t>解析1</t>
  </si>
  <si>
    <t>試験片寸法</t>
  </si>
  <si>
    <t>厚さ [m]</t>
  </si>
  <si>
    <t>幅 [m]</t>
  </si>
  <si>
    <t>長さ[m]</t>
  </si>
  <si>
    <t>断面二次モーメント</t>
  </si>
  <si>
    <t>I</t>
  </si>
  <si>
    <t>たわみ</t>
  </si>
  <si>
    <t>たわみ[mm]</t>
  </si>
  <si>
    <t>レポート用の表</t>
  </si>
  <si>
    <t>理論値[mm]</t>
  </si>
  <si>
    <t>FEM解析値[mm]</t>
  </si>
  <si>
    <t>設定条件</t>
  </si>
  <si>
    <t>解析2</t>
  </si>
  <si>
    <t>解析3</t>
  </si>
  <si>
    <t>各種設定</t>
  </si>
  <si>
    <t>板の横幅</t>
  </si>
  <si>
    <t>板の厚さt</t>
  </si>
  <si>
    <t>板の長さ</t>
  </si>
  <si>
    <t>基準応力σ0[Pa]</t>
  </si>
  <si>
    <t>担当した孔径</t>
  </si>
  <si>
    <t>作用応力σ0</t>
  </si>
  <si>
    <t>作用応力</t>
  </si>
  <si>
    <t>測定位置</t>
  </si>
  <si>
    <t>FEM解析値</t>
  </si>
  <si>
    <t>黄色いセルを入力してから表作成ボタンを押してください．</t>
  </si>
  <si>
    <t>測定値と理論値</t>
  </si>
  <si>
    <t>FEM解析値と理論値</t>
  </si>
  <si>
    <t>x</t>
    <phoneticPr fontId="1"/>
  </si>
  <si>
    <t>理論値</t>
    <rPh sb="0" eb="2">
      <t>リロン</t>
    </rPh>
    <rPh sb="2" eb="3">
      <t>アタイ</t>
    </rPh>
    <phoneticPr fontId="1"/>
  </si>
  <si>
    <t>Q</t>
    <phoneticPr fontId="1"/>
  </si>
  <si>
    <t>補正値</t>
    <rPh sb="0" eb="2">
      <t>ホセイ</t>
    </rPh>
    <rPh sb="2" eb="3">
      <t>アタイ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</si>
</sst>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"/>
    <numFmt numFmtId="177" formatCode="0.0"/>
    <numFmt numFmtId="178" formatCode="0.000_ "/>
    <numFmt numFmtId="179" formatCode="0.000000000"/>
    <numFmt numFmtId="180" formatCode="0.00000000000000"/>
  </numFmts>
  <fonts count="1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Times New Roman"/>
      <family val="1"/>
    </font>
    <font>
      <sz val="11"/>
      <color theme="1"/>
      <name val="ＭＳ Ｐ明朝"/>
      <family val="1"/>
      <charset val="128"/>
    </font>
    <font>
      <sz val="10.5"/>
      <color theme="1"/>
      <name val="ＭＳ Ｐ明朝"/>
      <family val="1"/>
      <charset val="128"/>
    </font>
    <font>
      <sz val="10.5"/>
      <color theme="1"/>
      <name val="Times New Roman"/>
      <family val="1"/>
    </font>
    <font>
      <vertAlign val="subscript"/>
      <sz val="10.5"/>
      <color theme="1"/>
      <name val="ＭＳ Ｐ明朝"/>
      <family val="1"/>
      <charset val="128"/>
    </font>
    <font>
      <vertAlign val="superscript"/>
      <sz val="10.5"/>
      <color theme="1"/>
      <name val="Times New Roman"/>
      <family val="1"/>
    </font>
    <font>
      <sz val="12"/>
      <color theme="1"/>
      <name val="Yu Mincho"/>
      <family val="3"/>
      <charset val="128"/>
    </font>
    <font>
      <sz val="12"/>
      <color theme="1"/>
      <name val="Times New Roman"/>
    </font>
    <font>
      <u/>
      <sz val="11"/>
      <color theme="10"/>
      <name val="游ゴシック"/>
      <family val="2"/>
      <charset val="128"/>
      <scheme val="minor"/>
    </font>
    <font>
      <u/>
      <sz val="11"/>
      <color theme="1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vertAlign val="superscript"/>
      <sz val="11"/>
      <color theme="1"/>
      <name val="Times New Roman"/>
      <family val="1"/>
    </font>
    <font>
      <sz val="11"/>
      <color theme="1"/>
      <name val="游ゴシック"/>
      <family val="2"/>
      <scheme val="minor"/>
    </font>
    <font>
      <sz val="11"/>
      <color rgb="FFFF0000"/>
      <name val="ＭＳ Ｐ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</borders>
  <cellStyleXfs count="10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</cellStyleXfs>
  <cellXfs count="213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2" fontId="5" fillId="0" borderId="1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2" fontId="5" fillId="0" borderId="3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top"/>
    </xf>
    <xf numFmtId="0" fontId="8" fillId="0" borderId="5" xfId="0" applyFont="1" applyBorder="1" applyAlignment="1">
      <alignment horizontal="center" vertical="top"/>
    </xf>
    <xf numFmtId="0" fontId="2" fillId="0" borderId="1" xfId="0" applyFont="1" applyFill="1" applyBorder="1" applyAlignment="1">
      <alignment horizontal="center" vertical="center"/>
    </xf>
    <xf numFmtId="177" fontId="2" fillId="0" borderId="8" xfId="0" applyNumberFormat="1" applyFont="1" applyFill="1" applyBorder="1" applyAlignment="1">
      <alignment horizontal="center" vertical="center"/>
    </xf>
    <xf numFmtId="177" fontId="2" fillId="0" borderId="1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177" fontId="2" fillId="0" borderId="3" xfId="0" applyNumberFormat="1" applyFont="1" applyBorder="1">
      <alignment vertical="center"/>
    </xf>
    <xf numFmtId="176" fontId="2" fillId="0" borderId="3" xfId="0" applyNumberFormat="1" applyFont="1" applyBorder="1">
      <alignment vertical="center"/>
    </xf>
    <xf numFmtId="10" fontId="2" fillId="0" borderId="3" xfId="9" applyNumberFormat="1" applyFont="1" applyBorder="1">
      <alignment vertical="center"/>
    </xf>
    <xf numFmtId="177" fontId="2" fillId="0" borderId="1" xfId="0" applyNumberFormat="1" applyFont="1" applyBorder="1">
      <alignment vertical="center"/>
    </xf>
    <xf numFmtId="176" fontId="2" fillId="0" borderId="1" xfId="0" applyNumberFormat="1" applyFont="1" applyBorder="1">
      <alignment vertical="center"/>
    </xf>
    <xf numFmtId="10" fontId="2" fillId="0" borderId="1" xfId="9" applyNumberFormat="1" applyFont="1" applyBorder="1">
      <alignment vertical="center"/>
    </xf>
    <xf numFmtId="0" fontId="2" fillId="2" borderId="1" xfId="0" applyFont="1" applyFill="1" applyBorder="1">
      <alignment vertical="center"/>
    </xf>
    <xf numFmtId="0" fontId="2" fillId="0" borderId="0" xfId="0" applyFont="1" applyFill="1">
      <alignment vertical="center"/>
    </xf>
    <xf numFmtId="0" fontId="3" fillId="0" borderId="0" xfId="0" applyFont="1" applyFill="1" applyAlignment="1">
      <alignment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3" xfId="0" applyFont="1" applyFill="1" applyBorder="1">
      <alignment vertical="center"/>
    </xf>
    <xf numFmtId="0" fontId="2" fillId="0" borderId="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177" fontId="2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177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177" fontId="2" fillId="0" borderId="6" xfId="0" applyNumberFormat="1" applyFont="1" applyBorder="1">
      <alignment vertical="center"/>
    </xf>
    <xf numFmtId="176" fontId="2" fillId="0" borderId="7" xfId="0" applyNumberFormat="1" applyFont="1" applyBorder="1">
      <alignment vertical="center"/>
    </xf>
    <xf numFmtId="10" fontId="2" fillId="0" borderId="6" xfId="9" applyNumberFormat="1" applyFont="1" applyBorder="1">
      <alignment vertical="center"/>
    </xf>
    <xf numFmtId="10" fontId="2" fillId="0" borderId="7" xfId="9" applyNumberFormat="1" applyFont="1" applyBorder="1">
      <alignment vertical="center"/>
    </xf>
    <xf numFmtId="177" fontId="2" fillId="0" borderId="12" xfId="0" applyNumberFormat="1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3" xfId="0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2" fontId="2" fillId="2" borderId="8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177" fontId="2" fillId="0" borderId="3" xfId="0" applyNumberFormat="1" applyFont="1" applyFill="1" applyBorder="1">
      <alignment vertical="center"/>
    </xf>
    <xf numFmtId="176" fontId="2" fillId="0" borderId="3" xfId="0" applyNumberFormat="1" applyFont="1" applyFill="1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 applyBorder="1" applyAlignment="1">
      <alignment vertical="center"/>
    </xf>
    <xf numFmtId="2" fontId="2" fillId="4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7" fontId="2" fillId="0" borderId="0" xfId="0" applyNumberFormat="1" applyFont="1" applyFill="1" applyBorder="1">
      <alignment vertical="center"/>
    </xf>
    <xf numFmtId="176" fontId="2" fillId="0" borderId="0" xfId="0" applyNumberFormat="1" applyFont="1" applyFill="1" applyBorder="1">
      <alignment vertical="center"/>
    </xf>
    <xf numFmtId="10" fontId="2" fillId="0" borderId="0" xfId="9" applyNumberFormat="1" applyFont="1" applyBorder="1">
      <alignment vertical="center"/>
    </xf>
    <xf numFmtId="0" fontId="4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5" fillId="2" borderId="3" xfId="0" applyNumberFormat="1" applyFont="1" applyFill="1" applyBorder="1" applyAlignment="1">
      <alignment horizontal="center" vertical="center" wrapText="1"/>
    </xf>
    <xf numFmtId="176" fontId="5" fillId="2" borderId="1" xfId="0" applyNumberFormat="1" applyFont="1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178" fontId="0" fillId="2" borderId="15" xfId="0" applyNumberFormat="1" applyFill="1" applyBorder="1" applyAlignment="1">
      <alignment horizontal="center" vertical="center"/>
    </xf>
    <xf numFmtId="178" fontId="0" fillId="2" borderId="2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>
      <alignment vertical="center"/>
    </xf>
    <xf numFmtId="0" fontId="0" fillId="0" borderId="15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176" fontId="0" fillId="0" borderId="15" xfId="0" applyNumberFormat="1" applyFill="1" applyBorder="1" applyAlignment="1">
      <alignment horizontal="center" vertical="center"/>
    </xf>
    <xf numFmtId="176" fontId="0" fillId="0" borderId="17" xfId="0" applyNumberFormat="1" applyFill="1" applyBorder="1" applyAlignment="1">
      <alignment horizontal="center" vertical="center"/>
    </xf>
    <xf numFmtId="176" fontId="0" fillId="0" borderId="22" xfId="0" applyNumberFormat="1" applyFill="1" applyBorder="1" applyAlignment="1">
      <alignment horizontal="center" vertical="center"/>
    </xf>
    <xf numFmtId="176" fontId="0" fillId="0" borderId="20" xfId="0" applyNumberForma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177" fontId="5" fillId="5" borderId="2" xfId="0" applyNumberFormat="1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176" fontId="5" fillId="5" borderId="3" xfId="0" applyNumberFormat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176" fontId="5" fillId="5" borderId="1" xfId="0" applyNumberFormat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3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2" fontId="0" fillId="0" borderId="1" xfId="0" applyNumberFormat="1" applyBorder="1">
      <alignment vertical="center"/>
    </xf>
    <xf numFmtId="10" fontId="0" fillId="0" borderId="3" xfId="9" applyNumberFormat="1" applyFont="1" applyBorder="1">
      <alignment vertical="center"/>
    </xf>
    <xf numFmtId="179" fontId="0" fillId="0" borderId="3" xfId="0" applyNumberFormat="1" applyFill="1" applyBorder="1">
      <alignment vertical="center"/>
    </xf>
    <xf numFmtId="179" fontId="0" fillId="0" borderId="3" xfId="0" applyNumberFormat="1" applyBorder="1">
      <alignment vertical="center"/>
    </xf>
    <xf numFmtId="2" fontId="5" fillId="0" borderId="3" xfId="0" applyNumberFormat="1" applyFont="1" applyFill="1" applyBorder="1" applyAlignment="1">
      <alignment horizontal="center" vertical="center"/>
    </xf>
    <xf numFmtId="2" fontId="5" fillId="0" borderId="1" xfId="0" applyNumberFormat="1" applyFont="1" applyFill="1" applyBorder="1" applyAlignment="1">
      <alignment horizontal="center" vertical="center"/>
    </xf>
    <xf numFmtId="0" fontId="0" fillId="6" borderId="3" xfId="0" applyFill="1" applyBorder="1">
      <alignment vertical="center"/>
    </xf>
    <xf numFmtId="0" fontId="0" fillId="6" borderId="2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3" fillId="3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180" fontId="0" fillId="0" borderId="1" xfId="0" applyNumberForma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5" fillId="0" borderId="3" xfId="0" applyNumberFormat="1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2" fontId="0" fillId="0" borderId="3" xfId="0" applyNumberFormat="1" applyBorder="1">
      <alignment vertical="center"/>
    </xf>
    <xf numFmtId="0" fontId="0" fillId="0" borderId="0" xfId="0" applyAlignment="1">
      <alignment horizontal="left" vertical="center"/>
    </xf>
    <xf numFmtId="0" fontId="0" fillId="0" borderId="27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10" fontId="0" fillId="0" borderId="3" xfId="9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76" fontId="5" fillId="2" borderId="4" xfId="0" applyNumberFormat="1" applyFont="1" applyFill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left" vertical="center"/>
    </xf>
    <xf numFmtId="0" fontId="0" fillId="3" borderId="21" xfId="0" applyFill="1" applyBorder="1" applyAlignment="1">
      <alignment horizontal="left" vertical="center"/>
    </xf>
    <xf numFmtId="0" fontId="5" fillId="5" borderId="1" xfId="0" applyFont="1" applyFill="1" applyBorder="1" applyAlignment="1">
      <alignment vertical="top" wrapText="1"/>
    </xf>
    <xf numFmtId="0" fontId="5" fillId="5" borderId="2" xfId="0" applyFont="1" applyFill="1" applyBorder="1" applyAlignment="1">
      <alignment vertical="top" wrapText="1"/>
    </xf>
    <xf numFmtId="0" fontId="5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/>
    </xf>
    <xf numFmtId="0" fontId="5" fillId="5" borderId="3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176" fontId="5" fillId="5" borderId="4" xfId="0" applyNumberFormat="1" applyFont="1" applyFill="1" applyBorder="1" applyAlignment="1">
      <alignment vertical="top" wrapText="1"/>
    </xf>
    <xf numFmtId="0" fontId="4" fillId="0" borderId="6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2" xfId="0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6" fontId="0" fillId="0" borderId="0" xfId="0" applyNumberFormat="1">
      <alignment vertical="center"/>
    </xf>
  </cellXfs>
  <cellStyles count="10">
    <cellStyle name="パーセント" xfId="9" builtinId="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'実験1-荷重とたわみの測定結果'!$D$48</c:f>
              <c:strCache>
                <c:ptCount val="1"/>
                <c:pt idx="0">
                  <c:v>P (N)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'実験1-荷重とたわみの測定結果'!$C$49:$C$81</c:f>
              <c:numCache>
                <c:formatCode>General</c:formatCode>
                <c:ptCount val="33"/>
                <c:pt idx="0">
                  <c:v>0</c:v>
                </c:pt>
                <c:pt idx="1">
                  <c:v>3.0000000000000001E-3</c:v>
                </c:pt>
                <c:pt idx="2">
                  <c:v>0</c:v>
                </c:pt>
                <c:pt idx="3">
                  <c:v>7.0000000000000001E-3</c:v>
                </c:pt>
                <c:pt idx="4">
                  <c:v>0</c:v>
                </c:pt>
                <c:pt idx="5">
                  <c:v>-0.01</c:v>
                </c:pt>
                <c:pt idx="6">
                  <c:v>0.14799999999999999</c:v>
                </c:pt>
                <c:pt idx="7">
                  <c:v>0.16200000000000001</c:v>
                </c:pt>
                <c:pt idx="8">
                  <c:v>0.14699999999999999</c:v>
                </c:pt>
                <c:pt idx="9">
                  <c:v>0.13700000000000001</c:v>
                </c:pt>
                <c:pt idx="10">
                  <c:v>0.14799999999999999</c:v>
                </c:pt>
                <c:pt idx="11">
                  <c:v>0.158</c:v>
                </c:pt>
                <c:pt idx="12" formatCode="0.000_ ">
                  <c:v>0.308</c:v>
                </c:pt>
                <c:pt idx="13" formatCode="0.000_ ">
                  <c:v>0.32600000000000001</c:v>
                </c:pt>
                <c:pt idx="14">
                  <c:v>0.312</c:v>
                </c:pt>
                <c:pt idx="15">
                  <c:v>0.32800000000000001</c:v>
                </c:pt>
                <c:pt idx="16" formatCode="0.000_ ">
                  <c:v>0.31</c:v>
                </c:pt>
                <c:pt idx="17">
                  <c:v>0.314</c:v>
                </c:pt>
                <c:pt idx="18" formatCode="0.000_ ">
                  <c:v>0.48499999999999999</c:v>
                </c:pt>
                <c:pt idx="19" formatCode="0.000_ ">
                  <c:v>0.49</c:v>
                </c:pt>
                <c:pt idx="20">
                  <c:v>0.47799999999999998</c:v>
                </c:pt>
                <c:pt idx="21">
                  <c:v>0.498</c:v>
                </c:pt>
                <c:pt idx="22" formatCode="0.000_ ">
                  <c:v>0.48</c:v>
                </c:pt>
                <c:pt idx="23">
                  <c:v>0.48899999999999999</c:v>
                </c:pt>
                <c:pt idx="24" formatCode="0.000_ ">
                  <c:v>0.63700000000000001</c:v>
                </c:pt>
                <c:pt idx="25">
                  <c:v>0.64700000000000002</c:v>
                </c:pt>
                <c:pt idx="26">
                  <c:v>0.63700000000000001</c:v>
                </c:pt>
                <c:pt idx="27">
                  <c:v>0.65400000000000003</c:v>
                </c:pt>
                <c:pt idx="28">
                  <c:v>0.64700000000000002</c:v>
                </c:pt>
                <c:pt idx="29">
                  <c:v>0.64900000000000002</c:v>
                </c:pt>
                <c:pt idx="30" formatCode="0.000_ ">
                  <c:v>0.95599999999999996</c:v>
                </c:pt>
                <c:pt idx="31">
                  <c:v>0.96499999999999997</c:v>
                </c:pt>
                <c:pt idx="32" formatCode="0.000_ ">
                  <c:v>0.96</c:v>
                </c:pt>
              </c:numCache>
            </c:numRef>
          </c:xVal>
          <c:yVal>
            <c:numRef>
              <c:f>'実験1-荷重とたわみの測定結果'!$D$49:$D$81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4.9000000000000004</c:v>
                </c:pt>
                <c:pt idx="7">
                  <c:v>4.9000000000000004</c:v>
                </c:pt>
                <c:pt idx="8">
                  <c:v>4.9000000000000004</c:v>
                </c:pt>
                <c:pt idx="9">
                  <c:v>4.9000000000000004</c:v>
                </c:pt>
                <c:pt idx="10">
                  <c:v>4.9000000000000004</c:v>
                </c:pt>
                <c:pt idx="11">
                  <c:v>4.9000000000000004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14.7</c:v>
                </c:pt>
                <c:pt idx="19">
                  <c:v>14.7</c:v>
                </c:pt>
                <c:pt idx="20">
                  <c:v>14.7</c:v>
                </c:pt>
                <c:pt idx="21">
                  <c:v>14.7</c:v>
                </c:pt>
                <c:pt idx="22">
                  <c:v>14.7</c:v>
                </c:pt>
                <c:pt idx="23">
                  <c:v>14.7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29.4</c:v>
                </c:pt>
                <c:pt idx="31">
                  <c:v>29.4</c:v>
                </c:pt>
                <c:pt idx="32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9-4CF7-B1E2-6A44FF7B0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001488"/>
        <c:axId val="372998352"/>
      </c:scatterChart>
      <c:valAx>
        <c:axId val="37300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たわみ</a:t>
                </a:r>
              </a:p>
            </c:rich>
          </c:tx>
          <c:layout>
            <c:manualLayout>
              <c:xMode val="edge"/>
              <c:yMode val="edge"/>
              <c:x val="0.43599065609447663"/>
              <c:y val="0.903016925234270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2998352"/>
        <c:crosses val="autoZero"/>
        <c:crossBetween val="midCat"/>
      </c:valAx>
      <c:valAx>
        <c:axId val="37299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荷重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3001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'実験1-荷重とたわみの測定結果'!$N$48</c:f>
              <c:strCache>
                <c:ptCount val="1"/>
                <c:pt idx="0">
                  <c:v>P (N)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'実験1-荷重とたわみの測定結果'!$M$49:$M$81</c:f>
              <c:numCache>
                <c:formatCode>General</c:formatCode>
                <c:ptCount val="33"/>
                <c:pt idx="0">
                  <c:v>0</c:v>
                </c:pt>
                <c:pt idx="1">
                  <c:v>3.0000000000000001E-3</c:v>
                </c:pt>
                <c:pt idx="2">
                  <c:v>0</c:v>
                </c:pt>
                <c:pt idx="3">
                  <c:v>7.0000000000000001E-3</c:v>
                </c:pt>
                <c:pt idx="4">
                  <c:v>0</c:v>
                </c:pt>
                <c:pt idx="5">
                  <c:v>-0.01</c:v>
                </c:pt>
                <c:pt idx="6" formatCode="0.000">
                  <c:v>0.14799999999999999</c:v>
                </c:pt>
                <c:pt idx="7" formatCode="0.000">
                  <c:v>0.159</c:v>
                </c:pt>
                <c:pt idx="8" formatCode="0.000">
                  <c:v>0.14699999999999999</c:v>
                </c:pt>
                <c:pt idx="9" formatCode="0.000">
                  <c:v>0.13</c:v>
                </c:pt>
                <c:pt idx="10" formatCode="0.000">
                  <c:v>0.14799999999999999</c:v>
                </c:pt>
                <c:pt idx="11" formatCode="0.000">
                  <c:v>0.16800000000000001</c:v>
                </c:pt>
                <c:pt idx="12" formatCode="0.000">
                  <c:v>0.308</c:v>
                </c:pt>
                <c:pt idx="13" formatCode="0.000">
                  <c:v>0.32300000000000001</c:v>
                </c:pt>
                <c:pt idx="14" formatCode="0.000">
                  <c:v>0.312</c:v>
                </c:pt>
                <c:pt idx="15" formatCode="0.000">
                  <c:v>0.32100000000000001</c:v>
                </c:pt>
                <c:pt idx="16" formatCode="0.000">
                  <c:v>0.31</c:v>
                </c:pt>
                <c:pt idx="17" formatCode="0.000">
                  <c:v>0.32400000000000001</c:v>
                </c:pt>
                <c:pt idx="18" formatCode="0.000">
                  <c:v>0.48499999999999999</c:v>
                </c:pt>
                <c:pt idx="19" formatCode="0.000">
                  <c:v>0.48699999999999999</c:v>
                </c:pt>
                <c:pt idx="20" formatCode="0.000">
                  <c:v>0.47799999999999998</c:v>
                </c:pt>
                <c:pt idx="21" formatCode="0.000">
                  <c:v>0.49099999999999999</c:v>
                </c:pt>
                <c:pt idx="22" formatCode="0.000">
                  <c:v>0.48</c:v>
                </c:pt>
                <c:pt idx="23" formatCode="0.000">
                  <c:v>0.499</c:v>
                </c:pt>
                <c:pt idx="24" formatCode="0.000">
                  <c:v>0.63700000000000001</c:v>
                </c:pt>
                <c:pt idx="25" formatCode="0.000">
                  <c:v>0.64400000000000002</c:v>
                </c:pt>
                <c:pt idx="26" formatCode="0.000">
                  <c:v>0.63700000000000001</c:v>
                </c:pt>
                <c:pt idx="27" formatCode="0.000">
                  <c:v>0.64700000000000002</c:v>
                </c:pt>
                <c:pt idx="28" formatCode="0.000">
                  <c:v>0.64700000000000002</c:v>
                </c:pt>
                <c:pt idx="29" formatCode="0.000">
                  <c:v>0.65900000000000003</c:v>
                </c:pt>
                <c:pt idx="30" formatCode="0.000">
                  <c:v>0.95599999999999996</c:v>
                </c:pt>
                <c:pt idx="31" formatCode="0.000">
                  <c:v>0.96499999999999997</c:v>
                </c:pt>
                <c:pt idx="32" formatCode="0.000">
                  <c:v>0.96</c:v>
                </c:pt>
              </c:numCache>
            </c:numRef>
          </c:xVal>
          <c:yVal>
            <c:numRef>
              <c:f>'実験1-荷重とたわみの測定結果'!$N$49:$N$81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4.9000000000000004</c:v>
                </c:pt>
                <c:pt idx="7">
                  <c:v>4.9000000000000004</c:v>
                </c:pt>
                <c:pt idx="8">
                  <c:v>4.9000000000000004</c:v>
                </c:pt>
                <c:pt idx="9">
                  <c:v>4.9000000000000004</c:v>
                </c:pt>
                <c:pt idx="10">
                  <c:v>4.9000000000000004</c:v>
                </c:pt>
                <c:pt idx="11">
                  <c:v>4.9000000000000004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14.7</c:v>
                </c:pt>
                <c:pt idx="19">
                  <c:v>14.7</c:v>
                </c:pt>
                <c:pt idx="20">
                  <c:v>14.7</c:v>
                </c:pt>
                <c:pt idx="21">
                  <c:v>14.7</c:v>
                </c:pt>
                <c:pt idx="22">
                  <c:v>14.7</c:v>
                </c:pt>
                <c:pt idx="23">
                  <c:v>14.7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29.4</c:v>
                </c:pt>
                <c:pt idx="31">
                  <c:v>29.4</c:v>
                </c:pt>
                <c:pt idx="32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2-4EE5-B521-E8A037463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999920"/>
        <c:axId val="373000704"/>
      </c:scatterChart>
      <c:valAx>
        <c:axId val="37299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3000704"/>
        <c:crosses val="autoZero"/>
        <c:crossBetween val="midCat"/>
      </c:valAx>
      <c:valAx>
        <c:axId val="3730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299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'実験2-SFD図とBMD図の自動作成'!$D$58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'実験2-SFD図とBMD図の自動作成'!$C$59:$C$229</c:f>
              <c:numCache>
                <c:formatCode>General</c:formatCode>
                <c:ptCount val="17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2.0000000000000004E-2</c:v>
                </c:pt>
                <c:pt idx="12">
                  <c:v>3.0000000000000006E-2</c:v>
                </c:pt>
                <c:pt idx="13">
                  <c:v>4.0000000000000008E-2</c:v>
                </c:pt>
                <c:pt idx="14">
                  <c:v>5.000000000000001E-2</c:v>
                </c:pt>
                <c:pt idx="15">
                  <c:v>6.0000000000000012E-2</c:v>
                </c:pt>
                <c:pt idx="16">
                  <c:v>7.0000000000000007E-2</c:v>
                </c:pt>
                <c:pt idx="17">
                  <c:v>0.08</c:v>
                </c:pt>
                <c:pt idx="18">
                  <c:v>0.09</c:v>
                </c:pt>
                <c:pt idx="19">
                  <c:v>9.9999999999999992E-2</c:v>
                </c:pt>
                <c:pt idx="20">
                  <c:v>0.10999999999999999</c:v>
                </c:pt>
                <c:pt idx="21">
                  <c:v>0.11099999999999999</c:v>
                </c:pt>
                <c:pt idx="22">
                  <c:v>0.11199999999999999</c:v>
                </c:pt>
                <c:pt idx="23">
                  <c:v>0.11299999999999999</c:v>
                </c:pt>
                <c:pt idx="24">
                  <c:v>0.11399999999999999</c:v>
                </c:pt>
                <c:pt idx="25">
                  <c:v>0.11499999999999999</c:v>
                </c:pt>
                <c:pt idx="26">
                  <c:v>0.11599999999999999</c:v>
                </c:pt>
                <c:pt idx="27">
                  <c:v>0.11699999999999999</c:v>
                </c:pt>
                <c:pt idx="28">
                  <c:v>0.11799999999999999</c:v>
                </c:pt>
                <c:pt idx="29">
                  <c:v>0.11899999999999999</c:v>
                </c:pt>
                <c:pt idx="30">
                  <c:v>0.12</c:v>
                </c:pt>
                <c:pt idx="31">
                  <c:v>0.121</c:v>
                </c:pt>
                <c:pt idx="32">
                  <c:v>0.122</c:v>
                </c:pt>
                <c:pt idx="33">
                  <c:v>0.123</c:v>
                </c:pt>
                <c:pt idx="34">
                  <c:v>0.124</c:v>
                </c:pt>
                <c:pt idx="35">
                  <c:v>0.125</c:v>
                </c:pt>
                <c:pt idx="36">
                  <c:v>0.126</c:v>
                </c:pt>
                <c:pt idx="37">
                  <c:v>0.127</c:v>
                </c:pt>
                <c:pt idx="38">
                  <c:v>0.128</c:v>
                </c:pt>
                <c:pt idx="39">
                  <c:v>0.129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0.15000000000000002</c:v>
                </c:pt>
                <c:pt idx="43">
                  <c:v>0.16000000000000003</c:v>
                </c:pt>
                <c:pt idx="44">
                  <c:v>0.17000000000000004</c:v>
                </c:pt>
                <c:pt idx="45">
                  <c:v>0.18000000000000005</c:v>
                </c:pt>
                <c:pt idx="46">
                  <c:v>0.19000000000000006</c:v>
                </c:pt>
                <c:pt idx="47">
                  <c:v>0.20000000000000007</c:v>
                </c:pt>
                <c:pt idx="48">
                  <c:v>0.21000000000000008</c:v>
                </c:pt>
                <c:pt idx="49">
                  <c:v>0.21100000000000008</c:v>
                </c:pt>
                <c:pt idx="50">
                  <c:v>0.21200000000000008</c:v>
                </c:pt>
                <c:pt idx="51">
                  <c:v>0.21300000000000008</c:v>
                </c:pt>
                <c:pt idx="52">
                  <c:v>0.21400000000000008</c:v>
                </c:pt>
                <c:pt idx="53">
                  <c:v>0.21500000000000008</c:v>
                </c:pt>
                <c:pt idx="54">
                  <c:v>0.21600000000000008</c:v>
                </c:pt>
                <c:pt idx="55">
                  <c:v>0.21700000000000008</c:v>
                </c:pt>
                <c:pt idx="56">
                  <c:v>0.21800000000000008</c:v>
                </c:pt>
                <c:pt idx="57">
                  <c:v>0.21900000000000008</c:v>
                </c:pt>
                <c:pt idx="58">
                  <c:v>0.22000000000000008</c:v>
                </c:pt>
                <c:pt idx="59">
                  <c:v>0.22100000000000009</c:v>
                </c:pt>
                <c:pt idx="60">
                  <c:v>0.22200000000000009</c:v>
                </c:pt>
                <c:pt idx="61">
                  <c:v>0.22300000000000009</c:v>
                </c:pt>
                <c:pt idx="62">
                  <c:v>0.22400000000000009</c:v>
                </c:pt>
                <c:pt idx="63">
                  <c:v>0.22500000000000009</c:v>
                </c:pt>
                <c:pt idx="64">
                  <c:v>0.22600000000000009</c:v>
                </c:pt>
                <c:pt idx="65">
                  <c:v>0.22700000000000009</c:v>
                </c:pt>
                <c:pt idx="66">
                  <c:v>0.22800000000000009</c:v>
                </c:pt>
                <c:pt idx="67">
                  <c:v>0.22900000000000009</c:v>
                </c:pt>
                <c:pt idx="68">
                  <c:v>0.23000000000000009</c:v>
                </c:pt>
                <c:pt idx="69">
                  <c:v>0.2400000000000001</c:v>
                </c:pt>
                <c:pt idx="70">
                  <c:v>0.25000000000000011</c:v>
                </c:pt>
                <c:pt idx="71">
                  <c:v>0.26000000000000012</c:v>
                </c:pt>
                <c:pt idx="72">
                  <c:v>0.27000000000000013</c:v>
                </c:pt>
                <c:pt idx="73">
                  <c:v>0.28000000000000014</c:v>
                </c:pt>
                <c:pt idx="74">
                  <c:v>0.29000000000000015</c:v>
                </c:pt>
                <c:pt idx="75">
                  <c:v>0.30000000000000016</c:v>
                </c:pt>
                <c:pt idx="76">
                  <c:v>0.30100000000000016</c:v>
                </c:pt>
                <c:pt idx="77">
                  <c:v>0.30200000000000016</c:v>
                </c:pt>
                <c:pt idx="78">
                  <c:v>0.30300000000000016</c:v>
                </c:pt>
                <c:pt idx="79">
                  <c:v>0.30400000000000016</c:v>
                </c:pt>
                <c:pt idx="80">
                  <c:v>0.30500000000000016</c:v>
                </c:pt>
                <c:pt idx="81">
                  <c:v>0.30600000000000016</c:v>
                </c:pt>
                <c:pt idx="82">
                  <c:v>0.30700000000000016</c:v>
                </c:pt>
                <c:pt idx="83">
                  <c:v>0.30800000000000016</c:v>
                </c:pt>
                <c:pt idx="84">
                  <c:v>0.30900000000000016</c:v>
                </c:pt>
                <c:pt idx="85">
                  <c:v>0.31000000000000016</c:v>
                </c:pt>
                <c:pt idx="86">
                  <c:v>0.31100000000000017</c:v>
                </c:pt>
                <c:pt idx="87">
                  <c:v>0.31200000000000017</c:v>
                </c:pt>
                <c:pt idx="88">
                  <c:v>0.31300000000000017</c:v>
                </c:pt>
                <c:pt idx="89">
                  <c:v>0.31400000000000017</c:v>
                </c:pt>
                <c:pt idx="90">
                  <c:v>0.31500000000000017</c:v>
                </c:pt>
                <c:pt idx="91">
                  <c:v>0.31600000000000017</c:v>
                </c:pt>
                <c:pt idx="92">
                  <c:v>0.31700000000000017</c:v>
                </c:pt>
                <c:pt idx="93">
                  <c:v>0.31800000000000017</c:v>
                </c:pt>
                <c:pt idx="94">
                  <c:v>0.31900000000000017</c:v>
                </c:pt>
                <c:pt idx="95">
                  <c:v>0.32000000000000017</c:v>
                </c:pt>
                <c:pt idx="96">
                  <c:v>0.32100000000000017</c:v>
                </c:pt>
                <c:pt idx="97">
                  <c:v>0.32200000000000017</c:v>
                </c:pt>
                <c:pt idx="98">
                  <c:v>0.32300000000000018</c:v>
                </c:pt>
                <c:pt idx="99">
                  <c:v>0.32400000000000018</c:v>
                </c:pt>
                <c:pt idx="100">
                  <c:v>0.32500000000000018</c:v>
                </c:pt>
                <c:pt idx="101">
                  <c:v>0.32600000000000018</c:v>
                </c:pt>
                <c:pt idx="102">
                  <c:v>0.32700000000000018</c:v>
                </c:pt>
                <c:pt idx="103">
                  <c:v>0.32800000000000018</c:v>
                </c:pt>
                <c:pt idx="104">
                  <c:v>0.32900000000000018</c:v>
                </c:pt>
                <c:pt idx="105">
                  <c:v>0.33000000000000018</c:v>
                </c:pt>
                <c:pt idx="106">
                  <c:v>0.34000000000000019</c:v>
                </c:pt>
                <c:pt idx="107">
                  <c:v>0.34100000000000019</c:v>
                </c:pt>
                <c:pt idx="108">
                  <c:v>0.34200000000000019</c:v>
                </c:pt>
                <c:pt idx="109">
                  <c:v>0.34300000000000019</c:v>
                </c:pt>
                <c:pt idx="110">
                  <c:v>0.34400000000000019</c:v>
                </c:pt>
                <c:pt idx="111">
                  <c:v>0.3450000000000002</c:v>
                </c:pt>
                <c:pt idx="112">
                  <c:v>0.3460000000000002</c:v>
                </c:pt>
                <c:pt idx="113">
                  <c:v>0.3470000000000002</c:v>
                </c:pt>
                <c:pt idx="114">
                  <c:v>0.3480000000000002</c:v>
                </c:pt>
                <c:pt idx="115">
                  <c:v>0.3490000000000002</c:v>
                </c:pt>
                <c:pt idx="116">
                  <c:v>0.3500000000000002</c:v>
                </c:pt>
                <c:pt idx="117">
                  <c:v>0.3510000000000002</c:v>
                </c:pt>
                <c:pt idx="118">
                  <c:v>0.3520000000000002</c:v>
                </c:pt>
                <c:pt idx="119">
                  <c:v>0.3530000000000002</c:v>
                </c:pt>
                <c:pt idx="120">
                  <c:v>0.3540000000000002</c:v>
                </c:pt>
                <c:pt idx="121">
                  <c:v>0.3550000000000002</c:v>
                </c:pt>
                <c:pt idx="122">
                  <c:v>0.35600000000000021</c:v>
                </c:pt>
                <c:pt idx="123">
                  <c:v>0.35700000000000021</c:v>
                </c:pt>
                <c:pt idx="124">
                  <c:v>0.35800000000000021</c:v>
                </c:pt>
                <c:pt idx="125">
                  <c:v>0.35900000000000021</c:v>
                </c:pt>
                <c:pt idx="126">
                  <c:v>0.36000000000000021</c:v>
                </c:pt>
                <c:pt idx="127">
                  <c:v>0.37000000000000022</c:v>
                </c:pt>
                <c:pt idx="128">
                  <c:v>0.38000000000000023</c:v>
                </c:pt>
                <c:pt idx="129">
                  <c:v>0.39000000000000024</c:v>
                </c:pt>
                <c:pt idx="130">
                  <c:v>0.40000000000000024</c:v>
                </c:pt>
                <c:pt idx="131">
                  <c:v>0.41000000000000025</c:v>
                </c:pt>
                <c:pt idx="132">
                  <c:v>0.42000000000000026</c:v>
                </c:pt>
                <c:pt idx="133">
                  <c:v>0.43000000000000027</c:v>
                </c:pt>
                <c:pt idx="134">
                  <c:v>0.44000000000000028</c:v>
                </c:pt>
                <c:pt idx="135">
                  <c:v>0.45000000000000029</c:v>
                </c:pt>
                <c:pt idx="136">
                  <c:v>0.4600000000000003</c:v>
                </c:pt>
                <c:pt idx="137">
                  <c:v>0.47000000000000031</c:v>
                </c:pt>
                <c:pt idx="138">
                  <c:v>0.48000000000000032</c:v>
                </c:pt>
                <c:pt idx="139">
                  <c:v>0.49000000000000032</c:v>
                </c:pt>
                <c:pt idx="140">
                  <c:v>0.50000000000000033</c:v>
                </c:pt>
                <c:pt idx="141">
                  <c:v>0.51000000000000034</c:v>
                </c:pt>
                <c:pt idx="142">
                  <c:v>0.52000000000000035</c:v>
                </c:pt>
                <c:pt idx="143">
                  <c:v>0.53000000000000036</c:v>
                </c:pt>
                <c:pt idx="144">
                  <c:v>0.54000000000000037</c:v>
                </c:pt>
                <c:pt idx="145">
                  <c:v>0.55000000000000038</c:v>
                </c:pt>
                <c:pt idx="146">
                  <c:v>0.56000000000000039</c:v>
                </c:pt>
                <c:pt idx="147">
                  <c:v>0.5700000000000004</c:v>
                </c:pt>
                <c:pt idx="148">
                  <c:v>0.5800000000000004</c:v>
                </c:pt>
                <c:pt idx="149">
                  <c:v>0.59000000000000041</c:v>
                </c:pt>
                <c:pt idx="150">
                  <c:v>0.60000000000000042</c:v>
                </c:pt>
                <c:pt idx="151">
                  <c:v>0.60100000000000042</c:v>
                </c:pt>
                <c:pt idx="152">
                  <c:v>0.60200000000000042</c:v>
                </c:pt>
                <c:pt idx="153">
                  <c:v>0.60300000000000042</c:v>
                </c:pt>
                <c:pt idx="154">
                  <c:v>0.60400000000000043</c:v>
                </c:pt>
                <c:pt idx="155">
                  <c:v>0.60500000000000043</c:v>
                </c:pt>
                <c:pt idx="156">
                  <c:v>0.60600000000000043</c:v>
                </c:pt>
                <c:pt idx="157">
                  <c:v>0.60700000000000043</c:v>
                </c:pt>
                <c:pt idx="158">
                  <c:v>0.60800000000000043</c:v>
                </c:pt>
                <c:pt idx="159">
                  <c:v>0.60900000000000043</c:v>
                </c:pt>
                <c:pt idx="160">
                  <c:v>0.61000000000000043</c:v>
                </c:pt>
                <c:pt idx="161">
                  <c:v>0.61100000000000043</c:v>
                </c:pt>
                <c:pt idx="162">
                  <c:v>0.61200000000000043</c:v>
                </c:pt>
                <c:pt idx="163">
                  <c:v>0.61300000000000043</c:v>
                </c:pt>
                <c:pt idx="164">
                  <c:v>0.61400000000000043</c:v>
                </c:pt>
                <c:pt idx="165">
                  <c:v>0.61500000000000044</c:v>
                </c:pt>
                <c:pt idx="166">
                  <c:v>0.61600000000000044</c:v>
                </c:pt>
                <c:pt idx="167">
                  <c:v>0.61700000000000044</c:v>
                </c:pt>
                <c:pt idx="168">
                  <c:v>0.61800000000000044</c:v>
                </c:pt>
                <c:pt idx="169">
                  <c:v>0.61900000000000044</c:v>
                </c:pt>
                <c:pt idx="170">
                  <c:v>0.62000000000000044</c:v>
                </c:pt>
              </c:numCache>
            </c:numRef>
          </c:xVal>
          <c:yVal>
            <c:numRef>
              <c:f>'実験2-SFD図とBMD図の自動作成'!$D$59:$D$229</c:f>
              <c:numCache>
                <c:formatCode>General</c:formatCode>
                <c:ptCount val="171"/>
                <c:pt idx="0">
                  <c:v>0</c:v>
                </c:pt>
                <c:pt idx="1">
                  <c:v>-8.5354838709677441E-3</c:v>
                </c:pt>
                <c:pt idx="2">
                  <c:v>-1.7070967741935488E-2</c:v>
                </c:pt>
                <c:pt idx="3">
                  <c:v>-2.560645161290323E-2</c:v>
                </c:pt>
                <c:pt idx="4">
                  <c:v>-3.4141935483870976E-2</c:v>
                </c:pt>
                <c:pt idx="5">
                  <c:v>-4.2677419354838715E-2</c:v>
                </c:pt>
                <c:pt idx="6">
                  <c:v>-5.1212903225806461E-2</c:v>
                </c:pt>
                <c:pt idx="7">
                  <c:v>-5.9748387096774207E-2</c:v>
                </c:pt>
                <c:pt idx="8">
                  <c:v>-6.8283870967741953E-2</c:v>
                </c:pt>
                <c:pt idx="9">
                  <c:v>-7.6819354838709705E-2</c:v>
                </c:pt>
                <c:pt idx="10">
                  <c:v>-8.5354838709677444E-2</c:v>
                </c:pt>
                <c:pt idx="11">
                  <c:v>-0.17070967741935489</c:v>
                </c:pt>
                <c:pt idx="12">
                  <c:v>-0.25606451612903236</c:v>
                </c:pt>
                <c:pt idx="13">
                  <c:v>-0.34141935483870978</c:v>
                </c:pt>
                <c:pt idx="14">
                  <c:v>-0.42677419354838725</c:v>
                </c:pt>
                <c:pt idx="15">
                  <c:v>-0.51212903225806472</c:v>
                </c:pt>
                <c:pt idx="16">
                  <c:v>-0.59748387096774214</c:v>
                </c:pt>
                <c:pt idx="17">
                  <c:v>-0.68283870967741944</c:v>
                </c:pt>
                <c:pt idx="18">
                  <c:v>-0.76819354838709686</c:v>
                </c:pt>
                <c:pt idx="19">
                  <c:v>-0.85354838709677427</c:v>
                </c:pt>
                <c:pt idx="20">
                  <c:v>-0.93890322580645169</c:v>
                </c:pt>
                <c:pt idx="21">
                  <c:v>-0.94743870967741939</c:v>
                </c:pt>
                <c:pt idx="22">
                  <c:v>-0.9559741935483872</c:v>
                </c:pt>
                <c:pt idx="23">
                  <c:v>-0.96450967741935489</c:v>
                </c:pt>
                <c:pt idx="24">
                  <c:v>-0.9730451612903227</c:v>
                </c:pt>
                <c:pt idx="25">
                  <c:v>-0.9815806451612904</c:v>
                </c:pt>
                <c:pt idx="26">
                  <c:v>-0.99011612903225821</c:v>
                </c:pt>
                <c:pt idx="27">
                  <c:v>-0.9986516129032259</c:v>
                </c:pt>
                <c:pt idx="28">
                  <c:v>-1.0071870967741936</c:v>
                </c:pt>
                <c:pt idx="29">
                  <c:v>-1.0157225806451615</c:v>
                </c:pt>
                <c:pt idx="30">
                  <c:v>-1.0242580645161292</c:v>
                </c:pt>
                <c:pt idx="31">
                  <c:v>-1.0327935483870969</c:v>
                </c:pt>
                <c:pt idx="32">
                  <c:v>-1.0413290322580646</c:v>
                </c:pt>
                <c:pt idx="33">
                  <c:v>-1.0498645161290325</c:v>
                </c:pt>
                <c:pt idx="34">
                  <c:v>-1.0584000000000002</c:v>
                </c:pt>
                <c:pt idx="35">
                  <c:v>-1.0669354838709679</c:v>
                </c:pt>
                <c:pt idx="36">
                  <c:v>-1.0754709677419356</c:v>
                </c:pt>
                <c:pt idx="37">
                  <c:v>-1.0840064516129033</c:v>
                </c:pt>
                <c:pt idx="38">
                  <c:v>-1.0925419354838712</c:v>
                </c:pt>
                <c:pt idx="39">
                  <c:v>-1.1010774193548389</c:v>
                </c:pt>
                <c:pt idx="40">
                  <c:v>-1.1096129032258066</c:v>
                </c:pt>
                <c:pt idx="41">
                  <c:v>-1.1949677419354843</c:v>
                </c:pt>
                <c:pt idx="42">
                  <c:v>-1.2803225806451617</c:v>
                </c:pt>
                <c:pt idx="43">
                  <c:v>-1.3656774193548391</c:v>
                </c:pt>
                <c:pt idx="44">
                  <c:v>-1.4510322580645167</c:v>
                </c:pt>
                <c:pt idx="45">
                  <c:v>-1.5363870967741942</c:v>
                </c:pt>
                <c:pt idx="46">
                  <c:v>-1.6217419354838718</c:v>
                </c:pt>
                <c:pt idx="47">
                  <c:v>-1.7070967741935492</c:v>
                </c:pt>
                <c:pt idx="48">
                  <c:v>-1.7924516129032269</c:v>
                </c:pt>
                <c:pt idx="49">
                  <c:v>-1.8009870967741946</c:v>
                </c:pt>
                <c:pt idx="50">
                  <c:v>-1.8095225806451622</c:v>
                </c:pt>
                <c:pt idx="51">
                  <c:v>-1.8180580645161299</c:v>
                </c:pt>
                <c:pt idx="52">
                  <c:v>-1.8265935483870979</c:v>
                </c:pt>
                <c:pt idx="53">
                  <c:v>-1.8351290322580656</c:v>
                </c:pt>
                <c:pt idx="54">
                  <c:v>-1.8436645161290333</c:v>
                </c:pt>
                <c:pt idx="55">
                  <c:v>-1.852200000000001</c:v>
                </c:pt>
                <c:pt idx="56">
                  <c:v>-1.8607354838709689</c:v>
                </c:pt>
                <c:pt idx="57">
                  <c:v>-1.8692709677419366</c:v>
                </c:pt>
                <c:pt idx="58">
                  <c:v>-1.8778064516129043</c:v>
                </c:pt>
                <c:pt idx="59">
                  <c:v>-1.886341935483872</c:v>
                </c:pt>
                <c:pt idx="60">
                  <c:v>-1.8948774193548397</c:v>
                </c:pt>
                <c:pt idx="61">
                  <c:v>-1.9034129032258076</c:v>
                </c:pt>
                <c:pt idx="62">
                  <c:v>-1.9119483870967753</c:v>
                </c:pt>
                <c:pt idx="63">
                  <c:v>-1.920483870967743</c:v>
                </c:pt>
                <c:pt idx="64">
                  <c:v>-1.9290193548387107</c:v>
                </c:pt>
                <c:pt idx="65">
                  <c:v>-1.9375548387096786</c:v>
                </c:pt>
                <c:pt idx="66">
                  <c:v>-1.9460903225806463</c:v>
                </c:pt>
                <c:pt idx="67">
                  <c:v>-1.954625806451614</c:v>
                </c:pt>
                <c:pt idx="68">
                  <c:v>-1.9631612903225817</c:v>
                </c:pt>
                <c:pt idx="69">
                  <c:v>-2.0485161290322593</c:v>
                </c:pt>
                <c:pt idx="70">
                  <c:v>-2.1338709677419367</c:v>
                </c:pt>
                <c:pt idx="71">
                  <c:v>-2.2192258064516142</c:v>
                </c:pt>
                <c:pt idx="72">
                  <c:v>-2.304580645161292</c:v>
                </c:pt>
                <c:pt idx="73">
                  <c:v>-2.3899354838709694</c:v>
                </c:pt>
                <c:pt idx="74">
                  <c:v>-2.4752903225806469</c:v>
                </c:pt>
                <c:pt idx="75">
                  <c:v>-2.5606451612903243</c:v>
                </c:pt>
                <c:pt idx="76">
                  <c:v>-2.5691806451612922</c:v>
                </c:pt>
                <c:pt idx="77">
                  <c:v>-2.5777161290322597</c:v>
                </c:pt>
                <c:pt idx="78">
                  <c:v>-2.5862516129032276</c:v>
                </c:pt>
                <c:pt idx="79">
                  <c:v>-2.5947870967741955</c:v>
                </c:pt>
                <c:pt idx="80">
                  <c:v>-2.603322580645163</c:v>
                </c:pt>
                <c:pt idx="81">
                  <c:v>-2.6118580645161309</c:v>
                </c:pt>
                <c:pt idx="82">
                  <c:v>-2.6203935483870988</c:v>
                </c:pt>
                <c:pt idx="83">
                  <c:v>-2.6289290322580663</c:v>
                </c:pt>
                <c:pt idx="84">
                  <c:v>-2.6374645161290342</c:v>
                </c:pt>
                <c:pt idx="85">
                  <c:v>-2.6460000000000017</c:v>
                </c:pt>
                <c:pt idx="86">
                  <c:v>-2.6545354838709696</c:v>
                </c:pt>
                <c:pt idx="87">
                  <c:v>-2.6630709677419375</c:v>
                </c:pt>
                <c:pt idx="88">
                  <c:v>-2.671606451612905</c:v>
                </c:pt>
                <c:pt idx="89">
                  <c:v>-2.6801419354838729</c:v>
                </c:pt>
                <c:pt idx="90">
                  <c:v>-2.6886774193548408</c:v>
                </c:pt>
                <c:pt idx="91">
                  <c:v>-2.6972129032258083</c:v>
                </c:pt>
                <c:pt idx="92">
                  <c:v>-2.7057483870967762</c:v>
                </c:pt>
                <c:pt idx="93">
                  <c:v>-2.7142838709677437</c:v>
                </c:pt>
                <c:pt idx="94">
                  <c:v>-2.7228193548387116</c:v>
                </c:pt>
                <c:pt idx="95">
                  <c:v>-2.7313548387096795</c:v>
                </c:pt>
                <c:pt idx="96">
                  <c:v>-2.739890322580647</c:v>
                </c:pt>
                <c:pt idx="97">
                  <c:v>-2.7484258064516149</c:v>
                </c:pt>
                <c:pt idx="98">
                  <c:v>-2.7569612903225824</c:v>
                </c:pt>
                <c:pt idx="99">
                  <c:v>-2.7654967741935503</c:v>
                </c:pt>
                <c:pt idx="100">
                  <c:v>-2.7740322580645183</c:v>
                </c:pt>
                <c:pt idx="101">
                  <c:v>-2.7825677419354857</c:v>
                </c:pt>
                <c:pt idx="102">
                  <c:v>-2.7911032258064536</c:v>
                </c:pt>
                <c:pt idx="103">
                  <c:v>-2.7996387096774216</c:v>
                </c:pt>
                <c:pt idx="104">
                  <c:v>-2.808174193548389</c:v>
                </c:pt>
                <c:pt idx="105">
                  <c:v>-2.816709677419357</c:v>
                </c:pt>
                <c:pt idx="106">
                  <c:v>-2.9020645161290344</c:v>
                </c:pt>
                <c:pt idx="107">
                  <c:v>-2.9106000000000023</c:v>
                </c:pt>
                <c:pt idx="108">
                  <c:v>-2.9191354838709698</c:v>
                </c:pt>
                <c:pt idx="109">
                  <c:v>-2.9276709677419377</c:v>
                </c:pt>
                <c:pt idx="110">
                  <c:v>-2.9362064516129056</c:v>
                </c:pt>
                <c:pt idx="111">
                  <c:v>-2.9447419354838731</c:v>
                </c:pt>
                <c:pt idx="112">
                  <c:v>-2.953277419354841</c:v>
                </c:pt>
                <c:pt idx="113">
                  <c:v>-2.9618129032258085</c:v>
                </c:pt>
                <c:pt idx="114">
                  <c:v>-2.9703483870967764</c:v>
                </c:pt>
                <c:pt idx="115">
                  <c:v>-2.9788838709677443</c:v>
                </c:pt>
                <c:pt idx="116">
                  <c:v>-2.9874193548387074</c:v>
                </c:pt>
                <c:pt idx="117">
                  <c:v>-2.9763548387096752</c:v>
                </c:pt>
                <c:pt idx="118">
                  <c:v>-2.9652903225806431</c:v>
                </c:pt>
                <c:pt idx="119">
                  <c:v>-2.9542258064516109</c:v>
                </c:pt>
                <c:pt idx="120">
                  <c:v>-2.9431612903225783</c:v>
                </c:pt>
                <c:pt idx="121">
                  <c:v>-2.9320967741935462</c:v>
                </c:pt>
                <c:pt idx="122">
                  <c:v>-2.9210322580645141</c:v>
                </c:pt>
                <c:pt idx="123">
                  <c:v>-2.9099677419354815</c:v>
                </c:pt>
                <c:pt idx="124">
                  <c:v>-2.8989032258064493</c:v>
                </c:pt>
                <c:pt idx="125">
                  <c:v>-2.8878387096774172</c:v>
                </c:pt>
                <c:pt idx="126">
                  <c:v>-2.876774193548385</c:v>
                </c:pt>
                <c:pt idx="127">
                  <c:v>-2.7661290322580623</c:v>
                </c:pt>
                <c:pt idx="128">
                  <c:v>-2.6554838709677395</c:v>
                </c:pt>
                <c:pt idx="129">
                  <c:v>-2.5448387096774168</c:v>
                </c:pt>
                <c:pt idx="130">
                  <c:v>-2.434193548387094</c:v>
                </c:pt>
                <c:pt idx="131">
                  <c:v>-2.3235483870967717</c:v>
                </c:pt>
                <c:pt idx="132">
                  <c:v>-2.2129032258064489</c:v>
                </c:pt>
                <c:pt idx="133">
                  <c:v>-2.1022580645161262</c:v>
                </c:pt>
                <c:pt idx="134">
                  <c:v>-1.9916129032258034</c:v>
                </c:pt>
                <c:pt idx="135">
                  <c:v>-1.8809677419354807</c:v>
                </c:pt>
                <c:pt idx="136">
                  <c:v>-1.7703225806451581</c:v>
                </c:pt>
                <c:pt idx="137">
                  <c:v>-1.6596774193548354</c:v>
                </c:pt>
                <c:pt idx="138">
                  <c:v>-1.5490322580645128</c:v>
                </c:pt>
                <c:pt idx="139">
                  <c:v>-1.4383870967741901</c:v>
                </c:pt>
                <c:pt idx="140">
                  <c:v>-1.3277419354838673</c:v>
                </c:pt>
                <c:pt idx="141">
                  <c:v>-1.2170967741935448</c:v>
                </c:pt>
                <c:pt idx="142">
                  <c:v>-1.106451612903222</c:v>
                </c:pt>
                <c:pt idx="143">
                  <c:v>-0.99580645161289938</c:v>
                </c:pt>
                <c:pt idx="144">
                  <c:v>-0.88516129032257662</c:v>
                </c:pt>
                <c:pt idx="145">
                  <c:v>-0.77451612903225397</c:v>
                </c:pt>
                <c:pt idx="146">
                  <c:v>-0.66387096774193133</c:v>
                </c:pt>
                <c:pt idx="147">
                  <c:v>-0.55322580645160857</c:v>
                </c:pt>
                <c:pt idx="148">
                  <c:v>-0.44258064516128592</c:v>
                </c:pt>
                <c:pt idx="149">
                  <c:v>-0.33193548387096328</c:v>
                </c:pt>
                <c:pt idx="150">
                  <c:v>-0.2212903225806406</c:v>
                </c:pt>
                <c:pt idx="151">
                  <c:v>-0.21022580645160832</c:v>
                </c:pt>
                <c:pt idx="152">
                  <c:v>-0.19916129032257607</c:v>
                </c:pt>
                <c:pt idx="153">
                  <c:v>-0.18809677419354379</c:v>
                </c:pt>
                <c:pt idx="154">
                  <c:v>-0.17703225806451151</c:v>
                </c:pt>
                <c:pt idx="155">
                  <c:v>-0.16596774193547925</c:v>
                </c:pt>
                <c:pt idx="156">
                  <c:v>-0.15490322580644697</c:v>
                </c:pt>
                <c:pt idx="157">
                  <c:v>-0.14383870967741472</c:v>
                </c:pt>
                <c:pt idx="158">
                  <c:v>-0.13277419354838244</c:v>
                </c:pt>
                <c:pt idx="159">
                  <c:v>-0.12170967741935018</c:v>
                </c:pt>
                <c:pt idx="160">
                  <c:v>-0.11064516129031791</c:v>
                </c:pt>
                <c:pt idx="161">
                  <c:v>-9.9580645161285647E-2</c:v>
                </c:pt>
                <c:pt idx="162">
                  <c:v>-8.8516129032253379E-2</c:v>
                </c:pt>
                <c:pt idx="163">
                  <c:v>-7.7451612903221112E-2</c:v>
                </c:pt>
                <c:pt idx="164">
                  <c:v>-6.6387096774188845E-2</c:v>
                </c:pt>
                <c:pt idx="165">
                  <c:v>-5.532258064515657E-2</c:v>
                </c:pt>
                <c:pt idx="166">
                  <c:v>-4.4258064516124303E-2</c:v>
                </c:pt>
                <c:pt idx="167">
                  <c:v>-3.3193548387092035E-2</c:v>
                </c:pt>
                <c:pt idx="168">
                  <c:v>-2.2129032258059768E-2</c:v>
                </c:pt>
                <c:pt idx="169">
                  <c:v>-1.10645161290275E-2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46-4218-8496-2A19C97AF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942752"/>
        <c:axId val="1203940672"/>
      </c:scatterChart>
      <c:valAx>
        <c:axId val="120394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3940672"/>
        <c:crosses val="autoZero"/>
        <c:crossBetween val="midCat"/>
      </c:valAx>
      <c:valAx>
        <c:axId val="120394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394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'実験2-SFD図とBMD図の自動作成'!$B$58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'実験2-SFD図とBMD図の自動作成'!$A$59:$A$229</c:f>
              <c:numCache>
                <c:formatCode>0.000</c:formatCode>
                <c:ptCount val="17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2.0000000000000004E-2</c:v>
                </c:pt>
                <c:pt idx="12">
                  <c:v>3.0000000000000006E-2</c:v>
                </c:pt>
                <c:pt idx="13">
                  <c:v>4.0000000000000008E-2</c:v>
                </c:pt>
                <c:pt idx="14">
                  <c:v>5.000000000000001E-2</c:v>
                </c:pt>
                <c:pt idx="15">
                  <c:v>6.0000000000000012E-2</c:v>
                </c:pt>
                <c:pt idx="16">
                  <c:v>7.0000000000000007E-2</c:v>
                </c:pt>
                <c:pt idx="17">
                  <c:v>0.08</c:v>
                </c:pt>
                <c:pt idx="18">
                  <c:v>0.09</c:v>
                </c:pt>
                <c:pt idx="19">
                  <c:v>9.9999999999999992E-2</c:v>
                </c:pt>
                <c:pt idx="20">
                  <c:v>0.10999999999999999</c:v>
                </c:pt>
                <c:pt idx="21">
                  <c:v>0.11099999999999999</c:v>
                </c:pt>
                <c:pt idx="22">
                  <c:v>0.11199999999999999</c:v>
                </c:pt>
                <c:pt idx="23">
                  <c:v>0.11299999999999999</c:v>
                </c:pt>
                <c:pt idx="24">
                  <c:v>0.11399999999999999</c:v>
                </c:pt>
                <c:pt idx="25">
                  <c:v>0.11499999999999999</c:v>
                </c:pt>
                <c:pt idx="26">
                  <c:v>0.11599999999999999</c:v>
                </c:pt>
                <c:pt idx="27">
                  <c:v>0.11699999999999999</c:v>
                </c:pt>
                <c:pt idx="28">
                  <c:v>0.11799999999999999</c:v>
                </c:pt>
                <c:pt idx="29">
                  <c:v>0.11899999999999999</c:v>
                </c:pt>
                <c:pt idx="30">
                  <c:v>0.12</c:v>
                </c:pt>
                <c:pt idx="31">
                  <c:v>0.121</c:v>
                </c:pt>
                <c:pt idx="32">
                  <c:v>0.122</c:v>
                </c:pt>
                <c:pt idx="33">
                  <c:v>0.123</c:v>
                </c:pt>
                <c:pt idx="34">
                  <c:v>0.124</c:v>
                </c:pt>
                <c:pt idx="35">
                  <c:v>0.125</c:v>
                </c:pt>
                <c:pt idx="36">
                  <c:v>0.126</c:v>
                </c:pt>
                <c:pt idx="37">
                  <c:v>0.127</c:v>
                </c:pt>
                <c:pt idx="38">
                  <c:v>0.128</c:v>
                </c:pt>
                <c:pt idx="39">
                  <c:v>0.129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0.15000000000000002</c:v>
                </c:pt>
                <c:pt idx="43">
                  <c:v>0.16000000000000003</c:v>
                </c:pt>
                <c:pt idx="44">
                  <c:v>0.17000000000000004</c:v>
                </c:pt>
                <c:pt idx="45">
                  <c:v>0.18000000000000005</c:v>
                </c:pt>
                <c:pt idx="46">
                  <c:v>0.19000000000000006</c:v>
                </c:pt>
                <c:pt idx="47">
                  <c:v>0.20000000000000007</c:v>
                </c:pt>
                <c:pt idx="48">
                  <c:v>0.21000000000000008</c:v>
                </c:pt>
                <c:pt idx="49">
                  <c:v>0.21100000000000008</c:v>
                </c:pt>
                <c:pt idx="50">
                  <c:v>0.21200000000000008</c:v>
                </c:pt>
                <c:pt idx="51">
                  <c:v>0.21300000000000008</c:v>
                </c:pt>
                <c:pt idx="52">
                  <c:v>0.21400000000000008</c:v>
                </c:pt>
                <c:pt idx="53">
                  <c:v>0.21500000000000008</c:v>
                </c:pt>
                <c:pt idx="54">
                  <c:v>0.21600000000000008</c:v>
                </c:pt>
                <c:pt idx="55">
                  <c:v>0.21700000000000008</c:v>
                </c:pt>
                <c:pt idx="56">
                  <c:v>0.21800000000000008</c:v>
                </c:pt>
                <c:pt idx="57">
                  <c:v>0.21900000000000008</c:v>
                </c:pt>
                <c:pt idx="58">
                  <c:v>0.22000000000000008</c:v>
                </c:pt>
                <c:pt idx="59">
                  <c:v>0.22100000000000009</c:v>
                </c:pt>
                <c:pt idx="60">
                  <c:v>0.22200000000000009</c:v>
                </c:pt>
                <c:pt idx="61">
                  <c:v>0.22300000000000009</c:v>
                </c:pt>
                <c:pt idx="62">
                  <c:v>0.22400000000000009</c:v>
                </c:pt>
                <c:pt idx="63">
                  <c:v>0.22500000000000009</c:v>
                </c:pt>
                <c:pt idx="64">
                  <c:v>0.22600000000000009</c:v>
                </c:pt>
                <c:pt idx="65">
                  <c:v>0.22700000000000009</c:v>
                </c:pt>
                <c:pt idx="66">
                  <c:v>0.22800000000000009</c:v>
                </c:pt>
                <c:pt idx="67">
                  <c:v>0.22900000000000009</c:v>
                </c:pt>
                <c:pt idx="68">
                  <c:v>0.23000000000000009</c:v>
                </c:pt>
                <c:pt idx="69">
                  <c:v>0.2400000000000001</c:v>
                </c:pt>
                <c:pt idx="70">
                  <c:v>0.25000000000000011</c:v>
                </c:pt>
                <c:pt idx="71">
                  <c:v>0.26000000000000012</c:v>
                </c:pt>
                <c:pt idx="72">
                  <c:v>0.27000000000000013</c:v>
                </c:pt>
                <c:pt idx="73">
                  <c:v>0.28000000000000014</c:v>
                </c:pt>
                <c:pt idx="74">
                  <c:v>0.29000000000000015</c:v>
                </c:pt>
                <c:pt idx="75">
                  <c:v>0.30000000000000016</c:v>
                </c:pt>
                <c:pt idx="76">
                  <c:v>0.30100000000000016</c:v>
                </c:pt>
                <c:pt idx="77">
                  <c:v>0.30200000000000016</c:v>
                </c:pt>
                <c:pt idx="78">
                  <c:v>0.30300000000000016</c:v>
                </c:pt>
                <c:pt idx="79">
                  <c:v>0.30400000000000016</c:v>
                </c:pt>
                <c:pt idx="80">
                  <c:v>0.30500000000000016</c:v>
                </c:pt>
                <c:pt idx="81">
                  <c:v>0.30600000000000016</c:v>
                </c:pt>
                <c:pt idx="82">
                  <c:v>0.30700000000000016</c:v>
                </c:pt>
                <c:pt idx="83">
                  <c:v>0.30800000000000016</c:v>
                </c:pt>
                <c:pt idx="84">
                  <c:v>0.30900000000000016</c:v>
                </c:pt>
                <c:pt idx="85">
                  <c:v>0.31000000000000016</c:v>
                </c:pt>
                <c:pt idx="86">
                  <c:v>0.31100000000000017</c:v>
                </c:pt>
                <c:pt idx="87">
                  <c:v>0.31200000000000017</c:v>
                </c:pt>
                <c:pt idx="88">
                  <c:v>0.31300000000000017</c:v>
                </c:pt>
                <c:pt idx="89">
                  <c:v>0.31400000000000017</c:v>
                </c:pt>
                <c:pt idx="90">
                  <c:v>0.31500000000000017</c:v>
                </c:pt>
                <c:pt idx="91">
                  <c:v>0.31600000000000017</c:v>
                </c:pt>
                <c:pt idx="92">
                  <c:v>0.31700000000000017</c:v>
                </c:pt>
                <c:pt idx="93">
                  <c:v>0.31800000000000017</c:v>
                </c:pt>
                <c:pt idx="94">
                  <c:v>0.31900000000000017</c:v>
                </c:pt>
                <c:pt idx="95">
                  <c:v>0.32000000000000017</c:v>
                </c:pt>
                <c:pt idx="96">
                  <c:v>0.32100000000000017</c:v>
                </c:pt>
                <c:pt idx="97">
                  <c:v>0.32200000000000017</c:v>
                </c:pt>
                <c:pt idx="98">
                  <c:v>0.32300000000000018</c:v>
                </c:pt>
                <c:pt idx="99">
                  <c:v>0.32400000000000018</c:v>
                </c:pt>
                <c:pt idx="100">
                  <c:v>0.32500000000000018</c:v>
                </c:pt>
                <c:pt idx="101">
                  <c:v>0.32600000000000018</c:v>
                </c:pt>
                <c:pt idx="102">
                  <c:v>0.32700000000000018</c:v>
                </c:pt>
                <c:pt idx="103">
                  <c:v>0.32800000000000018</c:v>
                </c:pt>
                <c:pt idx="104">
                  <c:v>0.32900000000000018</c:v>
                </c:pt>
                <c:pt idx="105">
                  <c:v>0.33000000000000018</c:v>
                </c:pt>
                <c:pt idx="106">
                  <c:v>0.34000000000000019</c:v>
                </c:pt>
                <c:pt idx="107">
                  <c:v>0.34100000000000019</c:v>
                </c:pt>
                <c:pt idx="108">
                  <c:v>0.34200000000000019</c:v>
                </c:pt>
                <c:pt idx="109">
                  <c:v>0.34300000000000019</c:v>
                </c:pt>
                <c:pt idx="110">
                  <c:v>0.34400000000000019</c:v>
                </c:pt>
                <c:pt idx="111">
                  <c:v>0.3450000000000002</c:v>
                </c:pt>
                <c:pt idx="112">
                  <c:v>0.3460000000000002</c:v>
                </c:pt>
                <c:pt idx="113">
                  <c:v>0.3470000000000002</c:v>
                </c:pt>
                <c:pt idx="114">
                  <c:v>0.3480000000000002</c:v>
                </c:pt>
                <c:pt idx="115">
                  <c:v>0.3490000000000002</c:v>
                </c:pt>
                <c:pt idx="116">
                  <c:v>0.3500000000000002</c:v>
                </c:pt>
                <c:pt idx="117">
                  <c:v>0.3510000000000002</c:v>
                </c:pt>
                <c:pt idx="118">
                  <c:v>0.3520000000000002</c:v>
                </c:pt>
                <c:pt idx="119">
                  <c:v>0.3530000000000002</c:v>
                </c:pt>
                <c:pt idx="120">
                  <c:v>0.3540000000000002</c:v>
                </c:pt>
                <c:pt idx="121">
                  <c:v>0.3550000000000002</c:v>
                </c:pt>
                <c:pt idx="122">
                  <c:v>0.35600000000000021</c:v>
                </c:pt>
                <c:pt idx="123">
                  <c:v>0.35700000000000021</c:v>
                </c:pt>
                <c:pt idx="124">
                  <c:v>0.35800000000000021</c:v>
                </c:pt>
                <c:pt idx="125">
                  <c:v>0.35900000000000021</c:v>
                </c:pt>
                <c:pt idx="126">
                  <c:v>0.36000000000000021</c:v>
                </c:pt>
                <c:pt idx="127">
                  <c:v>0.37000000000000022</c:v>
                </c:pt>
                <c:pt idx="128">
                  <c:v>0.38000000000000023</c:v>
                </c:pt>
                <c:pt idx="129">
                  <c:v>0.39000000000000024</c:v>
                </c:pt>
                <c:pt idx="130">
                  <c:v>0.40000000000000024</c:v>
                </c:pt>
                <c:pt idx="131">
                  <c:v>0.41000000000000025</c:v>
                </c:pt>
                <c:pt idx="132">
                  <c:v>0.42000000000000026</c:v>
                </c:pt>
                <c:pt idx="133">
                  <c:v>0.43000000000000027</c:v>
                </c:pt>
                <c:pt idx="134">
                  <c:v>0.44000000000000028</c:v>
                </c:pt>
                <c:pt idx="135">
                  <c:v>0.45000000000000029</c:v>
                </c:pt>
                <c:pt idx="136">
                  <c:v>0.4600000000000003</c:v>
                </c:pt>
                <c:pt idx="137">
                  <c:v>0.47000000000000031</c:v>
                </c:pt>
                <c:pt idx="138">
                  <c:v>0.48000000000000032</c:v>
                </c:pt>
                <c:pt idx="139">
                  <c:v>0.49000000000000032</c:v>
                </c:pt>
                <c:pt idx="140">
                  <c:v>0.50000000000000033</c:v>
                </c:pt>
                <c:pt idx="141">
                  <c:v>0.51000000000000034</c:v>
                </c:pt>
                <c:pt idx="142">
                  <c:v>0.52000000000000035</c:v>
                </c:pt>
                <c:pt idx="143">
                  <c:v>0.53000000000000036</c:v>
                </c:pt>
                <c:pt idx="144">
                  <c:v>0.54000000000000037</c:v>
                </c:pt>
                <c:pt idx="145">
                  <c:v>0.55000000000000038</c:v>
                </c:pt>
                <c:pt idx="146">
                  <c:v>0.56000000000000039</c:v>
                </c:pt>
                <c:pt idx="147">
                  <c:v>0.5700000000000004</c:v>
                </c:pt>
                <c:pt idx="148">
                  <c:v>0.5800000000000004</c:v>
                </c:pt>
                <c:pt idx="149">
                  <c:v>0.59000000000000041</c:v>
                </c:pt>
                <c:pt idx="150">
                  <c:v>0.60000000000000042</c:v>
                </c:pt>
                <c:pt idx="151">
                  <c:v>0.60100000000000042</c:v>
                </c:pt>
                <c:pt idx="152">
                  <c:v>0.60200000000000042</c:v>
                </c:pt>
                <c:pt idx="153">
                  <c:v>0.60300000000000042</c:v>
                </c:pt>
                <c:pt idx="154">
                  <c:v>0.60400000000000043</c:v>
                </c:pt>
                <c:pt idx="155">
                  <c:v>0.60500000000000043</c:v>
                </c:pt>
                <c:pt idx="156">
                  <c:v>0.60600000000000043</c:v>
                </c:pt>
                <c:pt idx="157">
                  <c:v>0.60700000000000043</c:v>
                </c:pt>
                <c:pt idx="158">
                  <c:v>0.60800000000000043</c:v>
                </c:pt>
                <c:pt idx="159">
                  <c:v>0.60900000000000043</c:v>
                </c:pt>
                <c:pt idx="160">
                  <c:v>0.61000000000000043</c:v>
                </c:pt>
                <c:pt idx="161">
                  <c:v>0.61100000000000043</c:v>
                </c:pt>
                <c:pt idx="162">
                  <c:v>0.61200000000000043</c:v>
                </c:pt>
                <c:pt idx="163">
                  <c:v>0.61300000000000043</c:v>
                </c:pt>
                <c:pt idx="164">
                  <c:v>0.61400000000000043</c:v>
                </c:pt>
                <c:pt idx="165">
                  <c:v>0.61500000000000044</c:v>
                </c:pt>
                <c:pt idx="166">
                  <c:v>0.61600000000000044</c:v>
                </c:pt>
                <c:pt idx="167">
                  <c:v>0.61700000000000044</c:v>
                </c:pt>
                <c:pt idx="168">
                  <c:v>0.61800000000000044</c:v>
                </c:pt>
                <c:pt idx="169">
                  <c:v>0.61900000000000044</c:v>
                </c:pt>
                <c:pt idx="170">
                  <c:v>0.62000000000000044</c:v>
                </c:pt>
              </c:numCache>
            </c:numRef>
          </c:xVal>
          <c:yVal>
            <c:numRef>
              <c:f>'実験2-SFD図とBMD図の自動作成'!$B$59:$B$229</c:f>
              <c:numCache>
                <c:formatCode>General</c:formatCode>
                <c:ptCount val="171"/>
                <c:pt idx="0">
                  <c:v>0</c:v>
                </c:pt>
                <c:pt idx="1">
                  <c:v>-8.5354838709677434</c:v>
                </c:pt>
                <c:pt idx="2">
                  <c:v>-8.5354838709677434</c:v>
                </c:pt>
                <c:pt idx="3">
                  <c:v>-8.5354838709677434</c:v>
                </c:pt>
                <c:pt idx="4">
                  <c:v>-8.5354838709677434</c:v>
                </c:pt>
                <c:pt idx="5">
                  <c:v>-8.5354838709677434</c:v>
                </c:pt>
                <c:pt idx="6">
                  <c:v>-8.5354838709677434</c:v>
                </c:pt>
                <c:pt idx="7">
                  <c:v>-8.5354838709677434</c:v>
                </c:pt>
                <c:pt idx="8">
                  <c:v>-8.5354838709677434</c:v>
                </c:pt>
                <c:pt idx="9">
                  <c:v>-8.5354838709677434</c:v>
                </c:pt>
                <c:pt idx="10">
                  <c:v>-8.5354838709677434</c:v>
                </c:pt>
                <c:pt idx="11">
                  <c:v>-8.5354838709677434</c:v>
                </c:pt>
                <c:pt idx="12">
                  <c:v>-8.5354838709677434</c:v>
                </c:pt>
                <c:pt idx="13">
                  <c:v>-8.5354838709677434</c:v>
                </c:pt>
                <c:pt idx="14">
                  <c:v>-8.5354838709677434</c:v>
                </c:pt>
                <c:pt idx="15">
                  <c:v>-8.5354838709677434</c:v>
                </c:pt>
                <c:pt idx="16">
                  <c:v>-8.5354838709677434</c:v>
                </c:pt>
                <c:pt idx="17">
                  <c:v>-8.5354838709677434</c:v>
                </c:pt>
                <c:pt idx="18">
                  <c:v>-8.5354838709677434</c:v>
                </c:pt>
                <c:pt idx="19">
                  <c:v>-8.5354838709677434</c:v>
                </c:pt>
                <c:pt idx="20">
                  <c:v>-8.5354838709677434</c:v>
                </c:pt>
                <c:pt idx="21">
                  <c:v>-8.5354838709677434</c:v>
                </c:pt>
                <c:pt idx="22">
                  <c:v>-8.5354838709677434</c:v>
                </c:pt>
                <c:pt idx="23">
                  <c:v>-8.5354838709677434</c:v>
                </c:pt>
                <c:pt idx="24">
                  <c:v>-8.5354838709677434</c:v>
                </c:pt>
                <c:pt idx="25">
                  <c:v>-8.5354838709677434</c:v>
                </c:pt>
                <c:pt idx="26">
                  <c:v>-8.5354838709677434</c:v>
                </c:pt>
                <c:pt idx="27">
                  <c:v>-8.5354838709677434</c:v>
                </c:pt>
                <c:pt idx="28">
                  <c:v>-8.5354838709677434</c:v>
                </c:pt>
                <c:pt idx="29">
                  <c:v>-8.5354838709677434</c:v>
                </c:pt>
                <c:pt idx="30">
                  <c:v>-8.5354838709677434</c:v>
                </c:pt>
                <c:pt idx="31">
                  <c:v>-8.5354838709677434</c:v>
                </c:pt>
                <c:pt idx="32">
                  <c:v>-8.5354838709677434</c:v>
                </c:pt>
                <c:pt idx="33">
                  <c:v>-8.5354838709677434</c:v>
                </c:pt>
                <c:pt idx="34">
                  <c:v>-8.5354838709677434</c:v>
                </c:pt>
                <c:pt idx="35">
                  <c:v>-8.5354838709677434</c:v>
                </c:pt>
                <c:pt idx="36">
                  <c:v>-8.5354838709677434</c:v>
                </c:pt>
                <c:pt idx="37">
                  <c:v>-8.5354838709677434</c:v>
                </c:pt>
                <c:pt idx="38">
                  <c:v>-8.5354838709677434</c:v>
                </c:pt>
                <c:pt idx="39">
                  <c:v>-8.5354838709677434</c:v>
                </c:pt>
                <c:pt idx="40">
                  <c:v>-8.5354838709677434</c:v>
                </c:pt>
                <c:pt idx="41">
                  <c:v>-8.5354838709677434</c:v>
                </c:pt>
                <c:pt idx="42">
                  <c:v>-8.5354838709677434</c:v>
                </c:pt>
                <c:pt idx="43">
                  <c:v>-8.5354838709677434</c:v>
                </c:pt>
                <c:pt idx="44">
                  <c:v>-8.5354838709677434</c:v>
                </c:pt>
                <c:pt idx="45">
                  <c:v>-8.5354838709677434</c:v>
                </c:pt>
                <c:pt idx="46">
                  <c:v>-8.5354838709677434</c:v>
                </c:pt>
                <c:pt idx="47">
                  <c:v>-8.5354838709677434</c:v>
                </c:pt>
                <c:pt idx="48">
                  <c:v>-8.5354838709677434</c:v>
                </c:pt>
                <c:pt idx="49">
                  <c:v>-8.5354838709677434</c:v>
                </c:pt>
                <c:pt idx="50">
                  <c:v>-8.5354838709677434</c:v>
                </c:pt>
                <c:pt idx="51">
                  <c:v>-8.5354838709677434</c:v>
                </c:pt>
                <c:pt idx="52">
                  <c:v>-8.5354838709677434</c:v>
                </c:pt>
                <c:pt idx="53">
                  <c:v>-8.5354838709677434</c:v>
                </c:pt>
                <c:pt idx="54">
                  <c:v>-8.5354838709677434</c:v>
                </c:pt>
                <c:pt idx="55">
                  <c:v>-8.5354838709677434</c:v>
                </c:pt>
                <c:pt idx="56">
                  <c:v>-8.5354838709677434</c:v>
                </c:pt>
                <c:pt idx="57">
                  <c:v>-8.5354838709677434</c:v>
                </c:pt>
                <c:pt idx="58">
                  <c:v>-8.5354838709677434</c:v>
                </c:pt>
                <c:pt idx="59">
                  <c:v>-8.5354838709677434</c:v>
                </c:pt>
                <c:pt idx="60">
                  <c:v>-8.5354838709677434</c:v>
                </c:pt>
                <c:pt idx="61">
                  <c:v>-8.5354838709677434</c:v>
                </c:pt>
                <c:pt idx="62">
                  <c:v>-8.5354838709677434</c:v>
                </c:pt>
                <c:pt idx="63">
                  <c:v>-8.5354838709677434</c:v>
                </c:pt>
                <c:pt idx="64">
                  <c:v>-8.5354838709677434</c:v>
                </c:pt>
                <c:pt idx="65">
                  <c:v>-8.5354838709677434</c:v>
                </c:pt>
                <c:pt idx="66">
                  <c:v>-8.5354838709677434</c:v>
                </c:pt>
                <c:pt idx="67">
                  <c:v>-8.5354838709677434</c:v>
                </c:pt>
                <c:pt idx="68">
                  <c:v>-8.5354838709677434</c:v>
                </c:pt>
                <c:pt idx="69">
                  <c:v>-8.5354838709677434</c:v>
                </c:pt>
                <c:pt idx="70">
                  <c:v>-8.5354838709677434</c:v>
                </c:pt>
                <c:pt idx="71">
                  <c:v>-8.5354838709677434</c:v>
                </c:pt>
                <c:pt idx="72">
                  <c:v>-8.5354838709677434</c:v>
                </c:pt>
                <c:pt idx="73">
                  <c:v>-8.5354838709677434</c:v>
                </c:pt>
                <c:pt idx="74">
                  <c:v>-8.5354838709677434</c:v>
                </c:pt>
                <c:pt idx="75">
                  <c:v>-8.5354838709677434</c:v>
                </c:pt>
                <c:pt idx="76">
                  <c:v>-8.5354838709677434</c:v>
                </c:pt>
                <c:pt idx="77">
                  <c:v>-8.5354838709677434</c:v>
                </c:pt>
                <c:pt idx="78">
                  <c:v>-8.5354838709677434</c:v>
                </c:pt>
                <c:pt idx="79">
                  <c:v>-8.5354838709677434</c:v>
                </c:pt>
                <c:pt idx="80">
                  <c:v>-8.5354838709677434</c:v>
                </c:pt>
                <c:pt idx="81">
                  <c:v>-8.5354838709677434</c:v>
                </c:pt>
                <c:pt idx="82">
                  <c:v>-8.5354838709677434</c:v>
                </c:pt>
                <c:pt idx="83">
                  <c:v>-8.5354838709677434</c:v>
                </c:pt>
                <c:pt idx="84">
                  <c:v>-8.5354838709677434</c:v>
                </c:pt>
                <c:pt idx="85">
                  <c:v>-8.5354838709677434</c:v>
                </c:pt>
                <c:pt idx="86">
                  <c:v>-8.5354838709677434</c:v>
                </c:pt>
                <c:pt idx="87">
                  <c:v>-8.5354838709677434</c:v>
                </c:pt>
                <c:pt idx="88">
                  <c:v>-8.5354838709677434</c:v>
                </c:pt>
                <c:pt idx="89">
                  <c:v>-8.5354838709677434</c:v>
                </c:pt>
                <c:pt idx="90">
                  <c:v>-8.5354838709677434</c:v>
                </c:pt>
                <c:pt idx="91">
                  <c:v>-8.5354838709677434</c:v>
                </c:pt>
                <c:pt idx="92">
                  <c:v>-8.5354838709677434</c:v>
                </c:pt>
                <c:pt idx="93">
                  <c:v>-8.5354838709677434</c:v>
                </c:pt>
                <c:pt idx="94">
                  <c:v>-8.5354838709677434</c:v>
                </c:pt>
                <c:pt idx="95">
                  <c:v>-8.5354838709677434</c:v>
                </c:pt>
                <c:pt idx="96">
                  <c:v>-8.5354838709677434</c:v>
                </c:pt>
                <c:pt idx="97">
                  <c:v>-8.5354838709677434</c:v>
                </c:pt>
                <c:pt idx="98">
                  <c:v>-8.5354838709677434</c:v>
                </c:pt>
                <c:pt idx="99">
                  <c:v>-8.5354838709677434</c:v>
                </c:pt>
                <c:pt idx="100">
                  <c:v>-8.5354838709677434</c:v>
                </c:pt>
                <c:pt idx="101">
                  <c:v>-8.5354838709677434</c:v>
                </c:pt>
                <c:pt idx="102">
                  <c:v>-8.5354838709677434</c:v>
                </c:pt>
                <c:pt idx="103">
                  <c:v>-8.5354838709677434</c:v>
                </c:pt>
                <c:pt idx="104">
                  <c:v>-8.5354838709677434</c:v>
                </c:pt>
                <c:pt idx="105">
                  <c:v>-8.5354838709677434</c:v>
                </c:pt>
                <c:pt idx="106">
                  <c:v>-8.5354838709677434</c:v>
                </c:pt>
                <c:pt idx="107">
                  <c:v>-8.5354838709677434</c:v>
                </c:pt>
                <c:pt idx="108">
                  <c:v>-8.5354838709677434</c:v>
                </c:pt>
                <c:pt idx="109">
                  <c:v>-8.5354838709677434</c:v>
                </c:pt>
                <c:pt idx="110">
                  <c:v>-8.5354838709677434</c:v>
                </c:pt>
                <c:pt idx="111">
                  <c:v>-8.5354838709677434</c:v>
                </c:pt>
                <c:pt idx="112">
                  <c:v>-8.5354838709677434</c:v>
                </c:pt>
                <c:pt idx="113">
                  <c:v>-8.5354838709677434</c:v>
                </c:pt>
                <c:pt idx="114">
                  <c:v>-8.5354838709677434</c:v>
                </c:pt>
                <c:pt idx="115">
                  <c:v>-8.5354838709677434</c:v>
                </c:pt>
                <c:pt idx="116">
                  <c:v>11.064516129032258</c:v>
                </c:pt>
                <c:pt idx="117">
                  <c:v>11.064516129032258</c:v>
                </c:pt>
                <c:pt idx="118">
                  <c:v>11.064516129032258</c:v>
                </c:pt>
                <c:pt idx="119">
                  <c:v>11.064516129032258</c:v>
                </c:pt>
                <c:pt idx="120">
                  <c:v>11.064516129032258</c:v>
                </c:pt>
                <c:pt idx="121">
                  <c:v>11.064516129032258</c:v>
                </c:pt>
                <c:pt idx="122">
                  <c:v>11.064516129032258</c:v>
                </c:pt>
                <c:pt idx="123">
                  <c:v>11.064516129032258</c:v>
                </c:pt>
                <c:pt idx="124">
                  <c:v>11.064516129032258</c:v>
                </c:pt>
                <c:pt idx="125">
                  <c:v>11.064516129032258</c:v>
                </c:pt>
                <c:pt idx="126">
                  <c:v>11.064516129032258</c:v>
                </c:pt>
                <c:pt idx="127">
                  <c:v>11.064516129032258</c:v>
                </c:pt>
                <c:pt idx="128">
                  <c:v>11.064516129032258</c:v>
                </c:pt>
                <c:pt idx="129">
                  <c:v>11.064516129032258</c:v>
                </c:pt>
                <c:pt idx="130">
                  <c:v>11.064516129032258</c:v>
                </c:pt>
                <c:pt idx="131">
                  <c:v>11.064516129032258</c:v>
                </c:pt>
                <c:pt idx="132">
                  <c:v>11.064516129032258</c:v>
                </c:pt>
                <c:pt idx="133">
                  <c:v>11.064516129032258</c:v>
                </c:pt>
                <c:pt idx="134">
                  <c:v>11.064516129032258</c:v>
                </c:pt>
                <c:pt idx="135">
                  <c:v>11.064516129032258</c:v>
                </c:pt>
                <c:pt idx="136">
                  <c:v>11.064516129032258</c:v>
                </c:pt>
                <c:pt idx="137">
                  <c:v>11.064516129032258</c:v>
                </c:pt>
                <c:pt idx="138">
                  <c:v>11.064516129032258</c:v>
                </c:pt>
                <c:pt idx="139">
                  <c:v>11.064516129032258</c:v>
                </c:pt>
                <c:pt idx="140">
                  <c:v>11.064516129032258</c:v>
                </c:pt>
                <c:pt idx="141">
                  <c:v>11.064516129032258</c:v>
                </c:pt>
                <c:pt idx="142">
                  <c:v>11.064516129032258</c:v>
                </c:pt>
                <c:pt idx="143">
                  <c:v>11.064516129032258</c:v>
                </c:pt>
                <c:pt idx="144">
                  <c:v>11.064516129032258</c:v>
                </c:pt>
                <c:pt idx="145">
                  <c:v>11.064516129032258</c:v>
                </c:pt>
                <c:pt idx="146">
                  <c:v>11.064516129032258</c:v>
                </c:pt>
                <c:pt idx="147">
                  <c:v>11.064516129032258</c:v>
                </c:pt>
                <c:pt idx="148">
                  <c:v>11.064516129032258</c:v>
                </c:pt>
                <c:pt idx="149">
                  <c:v>11.064516129032258</c:v>
                </c:pt>
                <c:pt idx="150">
                  <c:v>11.064516129032258</c:v>
                </c:pt>
                <c:pt idx="151">
                  <c:v>11.064516129032258</c:v>
                </c:pt>
                <c:pt idx="152">
                  <c:v>11.064516129032258</c:v>
                </c:pt>
                <c:pt idx="153">
                  <c:v>11.064516129032258</c:v>
                </c:pt>
                <c:pt idx="154">
                  <c:v>11.064516129032258</c:v>
                </c:pt>
                <c:pt idx="155">
                  <c:v>11.064516129032258</c:v>
                </c:pt>
                <c:pt idx="156">
                  <c:v>11.064516129032258</c:v>
                </c:pt>
                <c:pt idx="157">
                  <c:v>11.064516129032258</c:v>
                </c:pt>
                <c:pt idx="158">
                  <c:v>11.064516129032258</c:v>
                </c:pt>
                <c:pt idx="159">
                  <c:v>11.064516129032258</c:v>
                </c:pt>
                <c:pt idx="160">
                  <c:v>11.064516129032258</c:v>
                </c:pt>
                <c:pt idx="161">
                  <c:v>11.064516129032258</c:v>
                </c:pt>
                <c:pt idx="162">
                  <c:v>11.064516129032258</c:v>
                </c:pt>
                <c:pt idx="163">
                  <c:v>11.064516129032258</c:v>
                </c:pt>
                <c:pt idx="164">
                  <c:v>11.064516129032258</c:v>
                </c:pt>
                <c:pt idx="165">
                  <c:v>11.064516129032258</c:v>
                </c:pt>
                <c:pt idx="166">
                  <c:v>11.064516129032258</c:v>
                </c:pt>
                <c:pt idx="167">
                  <c:v>11.064516129032258</c:v>
                </c:pt>
                <c:pt idx="168">
                  <c:v>11.064516129032258</c:v>
                </c:pt>
                <c:pt idx="169">
                  <c:v>11.064516129032258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DC-4C20-95C9-C4A6BEE5F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950656"/>
        <c:axId val="1203944832"/>
      </c:scatterChart>
      <c:valAx>
        <c:axId val="120395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3944832"/>
        <c:crosses val="autoZero"/>
        <c:crossBetween val="midCat"/>
      </c:valAx>
      <c:valAx>
        <c:axId val="120394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395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'実験2-SFD図とBMD図の自動作成'!$F$58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'実験2-SFD図とBMD図の自動作成'!$E$59:$E$229</c:f>
              <c:numCache>
                <c:formatCode>General</c:formatCode>
                <c:ptCount val="17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2.0000000000000004E-2</c:v>
                </c:pt>
                <c:pt idx="12">
                  <c:v>3.0000000000000006E-2</c:v>
                </c:pt>
                <c:pt idx="13">
                  <c:v>4.0000000000000008E-2</c:v>
                </c:pt>
                <c:pt idx="14">
                  <c:v>5.000000000000001E-2</c:v>
                </c:pt>
                <c:pt idx="15">
                  <c:v>6.0000000000000012E-2</c:v>
                </c:pt>
                <c:pt idx="16">
                  <c:v>7.0000000000000007E-2</c:v>
                </c:pt>
                <c:pt idx="17">
                  <c:v>0.08</c:v>
                </c:pt>
                <c:pt idx="18">
                  <c:v>0.09</c:v>
                </c:pt>
                <c:pt idx="19">
                  <c:v>9.9999999999999992E-2</c:v>
                </c:pt>
                <c:pt idx="20">
                  <c:v>0.10999999999999999</c:v>
                </c:pt>
                <c:pt idx="21">
                  <c:v>0.11099999999999999</c:v>
                </c:pt>
                <c:pt idx="22">
                  <c:v>0.11199999999999999</c:v>
                </c:pt>
                <c:pt idx="23">
                  <c:v>0.11299999999999999</c:v>
                </c:pt>
                <c:pt idx="24">
                  <c:v>0.11399999999999999</c:v>
                </c:pt>
                <c:pt idx="25">
                  <c:v>0.11499999999999999</c:v>
                </c:pt>
                <c:pt idx="26">
                  <c:v>0.11599999999999999</c:v>
                </c:pt>
                <c:pt idx="27">
                  <c:v>0.11699999999999999</c:v>
                </c:pt>
                <c:pt idx="28">
                  <c:v>0.11799999999999999</c:v>
                </c:pt>
                <c:pt idx="29">
                  <c:v>0.11899999999999999</c:v>
                </c:pt>
                <c:pt idx="30">
                  <c:v>0.12</c:v>
                </c:pt>
                <c:pt idx="31">
                  <c:v>0.121</c:v>
                </c:pt>
                <c:pt idx="32">
                  <c:v>0.122</c:v>
                </c:pt>
                <c:pt idx="33">
                  <c:v>0.123</c:v>
                </c:pt>
                <c:pt idx="34">
                  <c:v>0.124</c:v>
                </c:pt>
                <c:pt idx="35">
                  <c:v>0.125</c:v>
                </c:pt>
                <c:pt idx="36">
                  <c:v>0.126</c:v>
                </c:pt>
                <c:pt idx="37">
                  <c:v>0.127</c:v>
                </c:pt>
                <c:pt idx="38">
                  <c:v>0.128</c:v>
                </c:pt>
                <c:pt idx="39">
                  <c:v>0.129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0.15000000000000002</c:v>
                </c:pt>
                <c:pt idx="43">
                  <c:v>0.16000000000000003</c:v>
                </c:pt>
                <c:pt idx="44">
                  <c:v>0.17000000000000004</c:v>
                </c:pt>
                <c:pt idx="45">
                  <c:v>0.18000000000000005</c:v>
                </c:pt>
                <c:pt idx="46">
                  <c:v>0.19000000000000006</c:v>
                </c:pt>
                <c:pt idx="47">
                  <c:v>0.20000000000000007</c:v>
                </c:pt>
                <c:pt idx="48">
                  <c:v>0.21000000000000008</c:v>
                </c:pt>
                <c:pt idx="49">
                  <c:v>0.21100000000000008</c:v>
                </c:pt>
                <c:pt idx="50">
                  <c:v>0.21200000000000008</c:v>
                </c:pt>
                <c:pt idx="51">
                  <c:v>0.21300000000000008</c:v>
                </c:pt>
                <c:pt idx="52">
                  <c:v>0.21400000000000008</c:v>
                </c:pt>
                <c:pt idx="53">
                  <c:v>0.21500000000000008</c:v>
                </c:pt>
                <c:pt idx="54">
                  <c:v>0.21600000000000008</c:v>
                </c:pt>
                <c:pt idx="55">
                  <c:v>0.21700000000000008</c:v>
                </c:pt>
                <c:pt idx="56">
                  <c:v>0.21800000000000008</c:v>
                </c:pt>
                <c:pt idx="57">
                  <c:v>0.21900000000000008</c:v>
                </c:pt>
                <c:pt idx="58">
                  <c:v>0.22000000000000008</c:v>
                </c:pt>
                <c:pt idx="59">
                  <c:v>0.22100000000000009</c:v>
                </c:pt>
                <c:pt idx="60">
                  <c:v>0.22200000000000009</c:v>
                </c:pt>
                <c:pt idx="61">
                  <c:v>0.22300000000000009</c:v>
                </c:pt>
                <c:pt idx="62">
                  <c:v>0.22400000000000009</c:v>
                </c:pt>
                <c:pt idx="63">
                  <c:v>0.22500000000000009</c:v>
                </c:pt>
                <c:pt idx="64">
                  <c:v>0.22600000000000009</c:v>
                </c:pt>
                <c:pt idx="65">
                  <c:v>0.22700000000000009</c:v>
                </c:pt>
                <c:pt idx="66">
                  <c:v>0.22800000000000009</c:v>
                </c:pt>
                <c:pt idx="67">
                  <c:v>0.22900000000000009</c:v>
                </c:pt>
                <c:pt idx="68">
                  <c:v>0.23000000000000009</c:v>
                </c:pt>
                <c:pt idx="69">
                  <c:v>0.2400000000000001</c:v>
                </c:pt>
                <c:pt idx="70">
                  <c:v>0.25000000000000011</c:v>
                </c:pt>
                <c:pt idx="71">
                  <c:v>0.26000000000000012</c:v>
                </c:pt>
                <c:pt idx="72">
                  <c:v>0.27000000000000013</c:v>
                </c:pt>
                <c:pt idx="73">
                  <c:v>0.28000000000000014</c:v>
                </c:pt>
                <c:pt idx="74">
                  <c:v>0.29000000000000015</c:v>
                </c:pt>
                <c:pt idx="75">
                  <c:v>0.29100000000000015</c:v>
                </c:pt>
                <c:pt idx="76">
                  <c:v>0.29200000000000015</c:v>
                </c:pt>
                <c:pt idx="77">
                  <c:v>0.29300000000000015</c:v>
                </c:pt>
                <c:pt idx="78">
                  <c:v>0.29400000000000015</c:v>
                </c:pt>
                <c:pt idx="79">
                  <c:v>0.29500000000000015</c:v>
                </c:pt>
                <c:pt idx="80">
                  <c:v>0.29600000000000015</c:v>
                </c:pt>
                <c:pt idx="81">
                  <c:v>0.29700000000000015</c:v>
                </c:pt>
                <c:pt idx="82">
                  <c:v>0.29800000000000015</c:v>
                </c:pt>
                <c:pt idx="83">
                  <c:v>0.29900000000000015</c:v>
                </c:pt>
                <c:pt idx="84">
                  <c:v>0.30000000000000016</c:v>
                </c:pt>
                <c:pt idx="85">
                  <c:v>0.30100000000000016</c:v>
                </c:pt>
                <c:pt idx="86">
                  <c:v>0.30200000000000016</c:v>
                </c:pt>
                <c:pt idx="87">
                  <c:v>0.30300000000000016</c:v>
                </c:pt>
                <c:pt idx="88">
                  <c:v>0.30400000000000016</c:v>
                </c:pt>
                <c:pt idx="89">
                  <c:v>0.30500000000000016</c:v>
                </c:pt>
                <c:pt idx="90">
                  <c:v>0.30600000000000016</c:v>
                </c:pt>
                <c:pt idx="91">
                  <c:v>0.30700000000000016</c:v>
                </c:pt>
                <c:pt idx="92">
                  <c:v>0.30800000000000016</c:v>
                </c:pt>
                <c:pt idx="93">
                  <c:v>0.30900000000000016</c:v>
                </c:pt>
                <c:pt idx="94">
                  <c:v>0.31000000000000016</c:v>
                </c:pt>
                <c:pt idx="95">
                  <c:v>0.31100000000000017</c:v>
                </c:pt>
                <c:pt idx="96">
                  <c:v>0.31200000000000017</c:v>
                </c:pt>
                <c:pt idx="97">
                  <c:v>0.31300000000000017</c:v>
                </c:pt>
                <c:pt idx="98">
                  <c:v>0.31400000000000017</c:v>
                </c:pt>
                <c:pt idx="99">
                  <c:v>0.31500000000000017</c:v>
                </c:pt>
                <c:pt idx="100">
                  <c:v>0.31600000000000017</c:v>
                </c:pt>
                <c:pt idx="101">
                  <c:v>0.31700000000000017</c:v>
                </c:pt>
                <c:pt idx="102">
                  <c:v>0.31800000000000017</c:v>
                </c:pt>
                <c:pt idx="103">
                  <c:v>0.31900000000000017</c:v>
                </c:pt>
                <c:pt idx="104">
                  <c:v>0.32000000000000017</c:v>
                </c:pt>
                <c:pt idx="105">
                  <c:v>0.32100000000000017</c:v>
                </c:pt>
                <c:pt idx="106">
                  <c:v>0.32200000000000017</c:v>
                </c:pt>
                <c:pt idx="107">
                  <c:v>0.32300000000000018</c:v>
                </c:pt>
                <c:pt idx="108">
                  <c:v>0.32400000000000018</c:v>
                </c:pt>
                <c:pt idx="109">
                  <c:v>0.32500000000000018</c:v>
                </c:pt>
                <c:pt idx="110">
                  <c:v>0.32600000000000018</c:v>
                </c:pt>
                <c:pt idx="111">
                  <c:v>0.32700000000000018</c:v>
                </c:pt>
                <c:pt idx="112">
                  <c:v>0.32800000000000018</c:v>
                </c:pt>
                <c:pt idx="113">
                  <c:v>0.32900000000000018</c:v>
                </c:pt>
                <c:pt idx="114">
                  <c:v>0.33000000000000018</c:v>
                </c:pt>
                <c:pt idx="115">
                  <c:v>0.33100000000000018</c:v>
                </c:pt>
                <c:pt idx="116">
                  <c:v>0.33200000000000018</c:v>
                </c:pt>
                <c:pt idx="117">
                  <c:v>0.33300000000000018</c:v>
                </c:pt>
                <c:pt idx="118">
                  <c:v>0.33400000000000019</c:v>
                </c:pt>
                <c:pt idx="119">
                  <c:v>0.33500000000000019</c:v>
                </c:pt>
                <c:pt idx="120">
                  <c:v>0.33600000000000019</c:v>
                </c:pt>
                <c:pt idx="121">
                  <c:v>0.33700000000000019</c:v>
                </c:pt>
                <c:pt idx="122">
                  <c:v>0.33800000000000019</c:v>
                </c:pt>
                <c:pt idx="123">
                  <c:v>0.33900000000000019</c:v>
                </c:pt>
                <c:pt idx="124">
                  <c:v>0.34000000000000019</c:v>
                </c:pt>
                <c:pt idx="125">
                  <c:v>0.3500000000000002</c:v>
                </c:pt>
                <c:pt idx="126">
                  <c:v>0.36000000000000021</c:v>
                </c:pt>
                <c:pt idx="127">
                  <c:v>0.37000000000000022</c:v>
                </c:pt>
                <c:pt idx="128">
                  <c:v>0.38000000000000023</c:v>
                </c:pt>
                <c:pt idx="129">
                  <c:v>0.39000000000000024</c:v>
                </c:pt>
                <c:pt idx="130">
                  <c:v>0.40000000000000024</c:v>
                </c:pt>
                <c:pt idx="131">
                  <c:v>0.41000000000000025</c:v>
                </c:pt>
                <c:pt idx="132">
                  <c:v>0.42000000000000026</c:v>
                </c:pt>
                <c:pt idx="133">
                  <c:v>0.43000000000000027</c:v>
                </c:pt>
                <c:pt idx="134">
                  <c:v>0.44000000000000028</c:v>
                </c:pt>
                <c:pt idx="135">
                  <c:v>0.45000000000000029</c:v>
                </c:pt>
                <c:pt idx="136">
                  <c:v>0.4600000000000003</c:v>
                </c:pt>
                <c:pt idx="137">
                  <c:v>0.47000000000000031</c:v>
                </c:pt>
                <c:pt idx="138">
                  <c:v>0.48000000000000032</c:v>
                </c:pt>
                <c:pt idx="139">
                  <c:v>0.49000000000000032</c:v>
                </c:pt>
                <c:pt idx="140">
                  <c:v>0.50000000000000033</c:v>
                </c:pt>
                <c:pt idx="141">
                  <c:v>0.51000000000000034</c:v>
                </c:pt>
                <c:pt idx="142">
                  <c:v>0.52000000000000035</c:v>
                </c:pt>
                <c:pt idx="143">
                  <c:v>0.53000000000000036</c:v>
                </c:pt>
                <c:pt idx="144">
                  <c:v>0.54000000000000037</c:v>
                </c:pt>
                <c:pt idx="145">
                  <c:v>0.55000000000000038</c:v>
                </c:pt>
                <c:pt idx="146">
                  <c:v>0.56000000000000039</c:v>
                </c:pt>
                <c:pt idx="147">
                  <c:v>0.5700000000000004</c:v>
                </c:pt>
                <c:pt idx="148">
                  <c:v>0.5800000000000004</c:v>
                </c:pt>
                <c:pt idx="149">
                  <c:v>0.59000000000000041</c:v>
                </c:pt>
                <c:pt idx="150">
                  <c:v>0.60000000000000042</c:v>
                </c:pt>
                <c:pt idx="151">
                  <c:v>0.60100000000000042</c:v>
                </c:pt>
                <c:pt idx="152">
                  <c:v>0.60200000000000042</c:v>
                </c:pt>
                <c:pt idx="153">
                  <c:v>0.60300000000000042</c:v>
                </c:pt>
                <c:pt idx="154">
                  <c:v>0.60400000000000043</c:v>
                </c:pt>
                <c:pt idx="155">
                  <c:v>0.60500000000000043</c:v>
                </c:pt>
                <c:pt idx="156">
                  <c:v>0.60600000000000043</c:v>
                </c:pt>
                <c:pt idx="157">
                  <c:v>0.60700000000000043</c:v>
                </c:pt>
                <c:pt idx="158">
                  <c:v>0.60800000000000043</c:v>
                </c:pt>
                <c:pt idx="159">
                  <c:v>0.60900000000000043</c:v>
                </c:pt>
                <c:pt idx="160">
                  <c:v>0.61000000000000043</c:v>
                </c:pt>
                <c:pt idx="161">
                  <c:v>0.61100000000000043</c:v>
                </c:pt>
                <c:pt idx="162">
                  <c:v>0.61200000000000043</c:v>
                </c:pt>
                <c:pt idx="163">
                  <c:v>0.61300000000000043</c:v>
                </c:pt>
                <c:pt idx="164">
                  <c:v>0.61400000000000043</c:v>
                </c:pt>
                <c:pt idx="165">
                  <c:v>0.61500000000000044</c:v>
                </c:pt>
                <c:pt idx="166">
                  <c:v>0.61600000000000044</c:v>
                </c:pt>
                <c:pt idx="167">
                  <c:v>0.61700000000000044</c:v>
                </c:pt>
                <c:pt idx="168">
                  <c:v>0.61800000000000044</c:v>
                </c:pt>
                <c:pt idx="169">
                  <c:v>0.61900000000000044</c:v>
                </c:pt>
                <c:pt idx="170">
                  <c:v>0.62000000000000044</c:v>
                </c:pt>
              </c:numCache>
            </c:numRef>
          </c:xVal>
          <c:yVal>
            <c:numRef>
              <c:f>'実験2-SFD図とBMD図の自動作成'!$F$59:$F$229</c:f>
              <c:numCache>
                <c:formatCode>General</c:formatCode>
                <c:ptCount val="171"/>
                <c:pt idx="0">
                  <c:v>0</c:v>
                </c:pt>
                <c:pt idx="1">
                  <c:v>-9.1677419354838712</c:v>
                </c:pt>
                <c:pt idx="2">
                  <c:v>-9.1677419354838712</c:v>
                </c:pt>
                <c:pt idx="3">
                  <c:v>-9.1677419354838712</c:v>
                </c:pt>
                <c:pt idx="4">
                  <c:v>-9.1677419354838712</c:v>
                </c:pt>
                <c:pt idx="5">
                  <c:v>-9.1677419354838712</c:v>
                </c:pt>
                <c:pt idx="6">
                  <c:v>-9.1677419354838712</c:v>
                </c:pt>
                <c:pt idx="7">
                  <c:v>-9.1677419354838712</c:v>
                </c:pt>
                <c:pt idx="8">
                  <c:v>-9.1677419354838712</c:v>
                </c:pt>
                <c:pt idx="9">
                  <c:v>-9.1677419354838712</c:v>
                </c:pt>
                <c:pt idx="10">
                  <c:v>-9.1677419354838712</c:v>
                </c:pt>
                <c:pt idx="11">
                  <c:v>-9.1677419354838712</c:v>
                </c:pt>
                <c:pt idx="12">
                  <c:v>-9.1677419354838712</c:v>
                </c:pt>
                <c:pt idx="13">
                  <c:v>-9.1677419354838712</c:v>
                </c:pt>
                <c:pt idx="14">
                  <c:v>-9.1677419354838712</c:v>
                </c:pt>
                <c:pt idx="15">
                  <c:v>-9.1677419354838712</c:v>
                </c:pt>
                <c:pt idx="16">
                  <c:v>-9.1677419354838712</c:v>
                </c:pt>
                <c:pt idx="17">
                  <c:v>-9.1677419354838712</c:v>
                </c:pt>
                <c:pt idx="18">
                  <c:v>-9.1677419354838712</c:v>
                </c:pt>
                <c:pt idx="19">
                  <c:v>-9.1677419354838712</c:v>
                </c:pt>
                <c:pt idx="20">
                  <c:v>-9.1677419354838712</c:v>
                </c:pt>
                <c:pt idx="21">
                  <c:v>-9.1677419354838712</c:v>
                </c:pt>
                <c:pt idx="22">
                  <c:v>-9.1677419354838712</c:v>
                </c:pt>
                <c:pt idx="23">
                  <c:v>-9.1677419354838712</c:v>
                </c:pt>
                <c:pt idx="24">
                  <c:v>-9.1677419354838712</c:v>
                </c:pt>
                <c:pt idx="25">
                  <c:v>-9.1677419354838712</c:v>
                </c:pt>
                <c:pt idx="26">
                  <c:v>-9.1677419354838712</c:v>
                </c:pt>
                <c:pt idx="27">
                  <c:v>-9.1677419354838712</c:v>
                </c:pt>
                <c:pt idx="28">
                  <c:v>-9.1677419354838712</c:v>
                </c:pt>
                <c:pt idx="29">
                  <c:v>-9.1677419354838712</c:v>
                </c:pt>
                <c:pt idx="30">
                  <c:v>-9.1677419354838712</c:v>
                </c:pt>
                <c:pt idx="31">
                  <c:v>-9.1677419354838712</c:v>
                </c:pt>
                <c:pt idx="32">
                  <c:v>-9.1677419354838712</c:v>
                </c:pt>
                <c:pt idx="33">
                  <c:v>-9.1677419354838712</c:v>
                </c:pt>
                <c:pt idx="34">
                  <c:v>-9.1677419354838712</c:v>
                </c:pt>
                <c:pt idx="35">
                  <c:v>-9.1677419354838712</c:v>
                </c:pt>
                <c:pt idx="36">
                  <c:v>-9.1677419354838712</c:v>
                </c:pt>
                <c:pt idx="37">
                  <c:v>-9.1677419354838712</c:v>
                </c:pt>
                <c:pt idx="38">
                  <c:v>-9.1677419354838712</c:v>
                </c:pt>
                <c:pt idx="39">
                  <c:v>-9.1677419354838712</c:v>
                </c:pt>
                <c:pt idx="40">
                  <c:v>-9.1677419354838712</c:v>
                </c:pt>
                <c:pt idx="41">
                  <c:v>-9.1677419354838712</c:v>
                </c:pt>
                <c:pt idx="42">
                  <c:v>-9.1677419354838712</c:v>
                </c:pt>
                <c:pt idx="43">
                  <c:v>-9.1677419354838712</c:v>
                </c:pt>
                <c:pt idx="44">
                  <c:v>-9.1677419354838712</c:v>
                </c:pt>
                <c:pt idx="45">
                  <c:v>-9.1677419354838712</c:v>
                </c:pt>
                <c:pt idx="46">
                  <c:v>-9.1677419354838712</c:v>
                </c:pt>
                <c:pt idx="47">
                  <c:v>-9.1677419354838712</c:v>
                </c:pt>
                <c:pt idx="48">
                  <c:v>-9.1677419354838712</c:v>
                </c:pt>
                <c:pt idx="49">
                  <c:v>-9.1677419354838712</c:v>
                </c:pt>
                <c:pt idx="50">
                  <c:v>-9.1677419354838712</c:v>
                </c:pt>
                <c:pt idx="51">
                  <c:v>-9.1677419354838712</c:v>
                </c:pt>
                <c:pt idx="52">
                  <c:v>-9.1677419354838712</c:v>
                </c:pt>
                <c:pt idx="53">
                  <c:v>-9.1677419354838712</c:v>
                </c:pt>
                <c:pt idx="54">
                  <c:v>-9.1677419354838712</c:v>
                </c:pt>
                <c:pt idx="55">
                  <c:v>-9.1677419354838712</c:v>
                </c:pt>
                <c:pt idx="56">
                  <c:v>-9.1677419354838712</c:v>
                </c:pt>
                <c:pt idx="57">
                  <c:v>-9.1677419354838712</c:v>
                </c:pt>
                <c:pt idx="58">
                  <c:v>-9.1677419354838712</c:v>
                </c:pt>
                <c:pt idx="59">
                  <c:v>-9.1677419354838712</c:v>
                </c:pt>
                <c:pt idx="60">
                  <c:v>-9.1677419354838712</c:v>
                </c:pt>
                <c:pt idx="61">
                  <c:v>-9.1677419354838712</c:v>
                </c:pt>
                <c:pt idx="62">
                  <c:v>-9.1677419354838712</c:v>
                </c:pt>
                <c:pt idx="63">
                  <c:v>-9.1677419354838712</c:v>
                </c:pt>
                <c:pt idx="64">
                  <c:v>-9.1677419354838712</c:v>
                </c:pt>
                <c:pt idx="65">
                  <c:v>-9.1677419354838712</c:v>
                </c:pt>
                <c:pt idx="66">
                  <c:v>-9.1677419354838712</c:v>
                </c:pt>
                <c:pt idx="67">
                  <c:v>-9.1677419354838712</c:v>
                </c:pt>
                <c:pt idx="68">
                  <c:v>-9.1677419354838712</c:v>
                </c:pt>
                <c:pt idx="69">
                  <c:v>-9.1677419354838712</c:v>
                </c:pt>
                <c:pt idx="70">
                  <c:v>-9.1677419354838712</c:v>
                </c:pt>
                <c:pt idx="71">
                  <c:v>-9.1677419354838712</c:v>
                </c:pt>
                <c:pt idx="72">
                  <c:v>-9.1677419354838712</c:v>
                </c:pt>
                <c:pt idx="73">
                  <c:v>-9.1677419354838712</c:v>
                </c:pt>
                <c:pt idx="74">
                  <c:v>-9.1677419354838712</c:v>
                </c:pt>
                <c:pt idx="75">
                  <c:v>-9.1677419354838712</c:v>
                </c:pt>
                <c:pt idx="76">
                  <c:v>-9.1677419354838712</c:v>
                </c:pt>
                <c:pt idx="77">
                  <c:v>-9.1677419354838712</c:v>
                </c:pt>
                <c:pt idx="78">
                  <c:v>-9.1677419354838712</c:v>
                </c:pt>
                <c:pt idx="79">
                  <c:v>-9.1677419354838712</c:v>
                </c:pt>
                <c:pt idx="80">
                  <c:v>-9.1677419354838712</c:v>
                </c:pt>
                <c:pt idx="81">
                  <c:v>-9.1677419354838712</c:v>
                </c:pt>
                <c:pt idx="82">
                  <c:v>-9.1677419354838712</c:v>
                </c:pt>
                <c:pt idx="83">
                  <c:v>-9.1677419354838712</c:v>
                </c:pt>
                <c:pt idx="84">
                  <c:v>-9.1677419354838712</c:v>
                </c:pt>
                <c:pt idx="85">
                  <c:v>-9.1677419354838712</c:v>
                </c:pt>
                <c:pt idx="86">
                  <c:v>-9.1677419354838712</c:v>
                </c:pt>
                <c:pt idx="87">
                  <c:v>-9.1677419354838712</c:v>
                </c:pt>
                <c:pt idx="88">
                  <c:v>-9.1677419354838712</c:v>
                </c:pt>
                <c:pt idx="89">
                  <c:v>-9.1677419354838712</c:v>
                </c:pt>
                <c:pt idx="90">
                  <c:v>-9.1677419354838712</c:v>
                </c:pt>
                <c:pt idx="91">
                  <c:v>-9.1677419354838712</c:v>
                </c:pt>
                <c:pt idx="92">
                  <c:v>-9.1677419354838712</c:v>
                </c:pt>
                <c:pt idx="93">
                  <c:v>-9.1677419354838712</c:v>
                </c:pt>
                <c:pt idx="94">
                  <c:v>-9.1677419354838712</c:v>
                </c:pt>
                <c:pt idx="95">
                  <c:v>-9.1677419354838712</c:v>
                </c:pt>
                <c:pt idx="96">
                  <c:v>-9.1677419354838712</c:v>
                </c:pt>
                <c:pt idx="97">
                  <c:v>-9.1677419354838712</c:v>
                </c:pt>
                <c:pt idx="98">
                  <c:v>-9.1677419354838712</c:v>
                </c:pt>
                <c:pt idx="99">
                  <c:v>-9.1677419354838712</c:v>
                </c:pt>
                <c:pt idx="100">
                  <c:v>-9.1677419354838712</c:v>
                </c:pt>
                <c:pt idx="101">
                  <c:v>-9.1677419354838712</c:v>
                </c:pt>
                <c:pt idx="102">
                  <c:v>-9.1677419354838712</c:v>
                </c:pt>
                <c:pt idx="103">
                  <c:v>-9.1677419354838712</c:v>
                </c:pt>
                <c:pt idx="104">
                  <c:v>-9.1677419354838712</c:v>
                </c:pt>
                <c:pt idx="105">
                  <c:v>-9.1677419354838712</c:v>
                </c:pt>
                <c:pt idx="106">
                  <c:v>-9.1677419354838712</c:v>
                </c:pt>
                <c:pt idx="107">
                  <c:v>-9.1677419354838712</c:v>
                </c:pt>
                <c:pt idx="108">
                  <c:v>-9.1677419354838712</c:v>
                </c:pt>
                <c:pt idx="109">
                  <c:v>-9.1677419354838712</c:v>
                </c:pt>
                <c:pt idx="110">
                  <c:v>-9.1677419354838712</c:v>
                </c:pt>
                <c:pt idx="111">
                  <c:v>-9.1677419354838712</c:v>
                </c:pt>
                <c:pt idx="112">
                  <c:v>-9.1677419354838712</c:v>
                </c:pt>
                <c:pt idx="113">
                  <c:v>-9.1677419354838712</c:v>
                </c:pt>
                <c:pt idx="114">
                  <c:v>10.43225806451613</c:v>
                </c:pt>
                <c:pt idx="115">
                  <c:v>10.43225806451613</c:v>
                </c:pt>
                <c:pt idx="116">
                  <c:v>10.43225806451613</c:v>
                </c:pt>
                <c:pt idx="117">
                  <c:v>10.43225806451613</c:v>
                </c:pt>
                <c:pt idx="118">
                  <c:v>10.43225806451613</c:v>
                </c:pt>
                <c:pt idx="119">
                  <c:v>10.43225806451613</c:v>
                </c:pt>
                <c:pt idx="120">
                  <c:v>10.43225806451613</c:v>
                </c:pt>
                <c:pt idx="121">
                  <c:v>10.43225806451613</c:v>
                </c:pt>
                <c:pt idx="122">
                  <c:v>10.43225806451613</c:v>
                </c:pt>
                <c:pt idx="123">
                  <c:v>10.43225806451613</c:v>
                </c:pt>
                <c:pt idx="124">
                  <c:v>10.43225806451613</c:v>
                </c:pt>
                <c:pt idx="125">
                  <c:v>10.43225806451613</c:v>
                </c:pt>
                <c:pt idx="126">
                  <c:v>10.43225806451613</c:v>
                </c:pt>
                <c:pt idx="127">
                  <c:v>10.43225806451613</c:v>
                </c:pt>
                <c:pt idx="128">
                  <c:v>10.43225806451613</c:v>
                </c:pt>
                <c:pt idx="129">
                  <c:v>10.43225806451613</c:v>
                </c:pt>
                <c:pt idx="130">
                  <c:v>10.43225806451613</c:v>
                </c:pt>
                <c:pt idx="131">
                  <c:v>10.43225806451613</c:v>
                </c:pt>
                <c:pt idx="132">
                  <c:v>10.43225806451613</c:v>
                </c:pt>
                <c:pt idx="133">
                  <c:v>10.43225806451613</c:v>
                </c:pt>
                <c:pt idx="134">
                  <c:v>10.43225806451613</c:v>
                </c:pt>
                <c:pt idx="135">
                  <c:v>10.43225806451613</c:v>
                </c:pt>
                <c:pt idx="136">
                  <c:v>10.43225806451613</c:v>
                </c:pt>
                <c:pt idx="137">
                  <c:v>10.43225806451613</c:v>
                </c:pt>
                <c:pt idx="138">
                  <c:v>10.43225806451613</c:v>
                </c:pt>
                <c:pt idx="139">
                  <c:v>10.43225806451613</c:v>
                </c:pt>
                <c:pt idx="140">
                  <c:v>10.43225806451613</c:v>
                </c:pt>
                <c:pt idx="141">
                  <c:v>10.43225806451613</c:v>
                </c:pt>
                <c:pt idx="142">
                  <c:v>10.43225806451613</c:v>
                </c:pt>
                <c:pt idx="143">
                  <c:v>10.43225806451613</c:v>
                </c:pt>
                <c:pt idx="144">
                  <c:v>10.43225806451613</c:v>
                </c:pt>
                <c:pt idx="145">
                  <c:v>10.43225806451613</c:v>
                </c:pt>
                <c:pt idx="146">
                  <c:v>10.43225806451613</c:v>
                </c:pt>
                <c:pt idx="147">
                  <c:v>10.43225806451613</c:v>
                </c:pt>
                <c:pt idx="148">
                  <c:v>10.43225806451613</c:v>
                </c:pt>
                <c:pt idx="149">
                  <c:v>10.43225806451613</c:v>
                </c:pt>
                <c:pt idx="150">
                  <c:v>10.43225806451613</c:v>
                </c:pt>
                <c:pt idx="151">
                  <c:v>10.43225806451613</c:v>
                </c:pt>
                <c:pt idx="152">
                  <c:v>10.43225806451613</c:v>
                </c:pt>
                <c:pt idx="153">
                  <c:v>10.43225806451613</c:v>
                </c:pt>
                <c:pt idx="154">
                  <c:v>10.43225806451613</c:v>
                </c:pt>
                <c:pt idx="155">
                  <c:v>10.43225806451613</c:v>
                </c:pt>
                <c:pt idx="156">
                  <c:v>10.43225806451613</c:v>
                </c:pt>
                <c:pt idx="157">
                  <c:v>10.43225806451613</c:v>
                </c:pt>
                <c:pt idx="158">
                  <c:v>10.43225806451613</c:v>
                </c:pt>
                <c:pt idx="159">
                  <c:v>10.43225806451613</c:v>
                </c:pt>
                <c:pt idx="160">
                  <c:v>10.43225806451613</c:v>
                </c:pt>
                <c:pt idx="161">
                  <c:v>10.43225806451613</c:v>
                </c:pt>
                <c:pt idx="162">
                  <c:v>10.43225806451613</c:v>
                </c:pt>
                <c:pt idx="163">
                  <c:v>10.43225806451613</c:v>
                </c:pt>
                <c:pt idx="164">
                  <c:v>10.43225806451613</c:v>
                </c:pt>
                <c:pt idx="165">
                  <c:v>10.43225806451613</c:v>
                </c:pt>
                <c:pt idx="166">
                  <c:v>10.43225806451613</c:v>
                </c:pt>
                <c:pt idx="167">
                  <c:v>10.43225806451613</c:v>
                </c:pt>
                <c:pt idx="168">
                  <c:v>10.43225806451613</c:v>
                </c:pt>
                <c:pt idx="169">
                  <c:v>10.43225806451613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ED-4F78-9E8E-3048DF01A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952736"/>
        <c:axId val="1203954400"/>
      </c:scatterChart>
      <c:valAx>
        <c:axId val="120395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3954400"/>
        <c:crosses val="autoZero"/>
        <c:crossBetween val="midCat"/>
      </c:valAx>
      <c:valAx>
        <c:axId val="120395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395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'実験2-SFD図とBMD図の自動作成'!$H$58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'実験2-SFD図とBMD図の自動作成'!$G$59:$G$229</c:f>
              <c:numCache>
                <c:formatCode>General</c:formatCode>
                <c:ptCount val="17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2.0000000000000004E-2</c:v>
                </c:pt>
                <c:pt idx="12">
                  <c:v>3.0000000000000006E-2</c:v>
                </c:pt>
                <c:pt idx="13">
                  <c:v>4.0000000000000008E-2</c:v>
                </c:pt>
                <c:pt idx="14">
                  <c:v>5.000000000000001E-2</c:v>
                </c:pt>
                <c:pt idx="15">
                  <c:v>6.0000000000000012E-2</c:v>
                </c:pt>
                <c:pt idx="16">
                  <c:v>7.0000000000000007E-2</c:v>
                </c:pt>
                <c:pt idx="17">
                  <c:v>0.08</c:v>
                </c:pt>
                <c:pt idx="18">
                  <c:v>0.09</c:v>
                </c:pt>
                <c:pt idx="19">
                  <c:v>9.9999999999999992E-2</c:v>
                </c:pt>
                <c:pt idx="20">
                  <c:v>0.10999999999999999</c:v>
                </c:pt>
                <c:pt idx="21">
                  <c:v>0.11099999999999999</c:v>
                </c:pt>
                <c:pt idx="22">
                  <c:v>0.11199999999999999</c:v>
                </c:pt>
                <c:pt idx="23">
                  <c:v>0.11299999999999999</c:v>
                </c:pt>
                <c:pt idx="24">
                  <c:v>0.11399999999999999</c:v>
                </c:pt>
                <c:pt idx="25">
                  <c:v>0.11499999999999999</c:v>
                </c:pt>
                <c:pt idx="26">
                  <c:v>0.11599999999999999</c:v>
                </c:pt>
                <c:pt idx="27">
                  <c:v>0.11699999999999999</c:v>
                </c:pt>
                <c:pt idx="28">
                  <c:v>0.11799999999999999</c:v>
                </c:pt>
                <c:pt idx="29">
                  <c:v>0.11899999999999999</c:v>
                </c:pt>
                <c:pt idx="30">
                  <c:v>0.12</c:v>
                </c:pt>
                <c:pt idx="31">
                  <c:v>0.121</c:v>
                </c:pt>
                <c:pt idx="32">
                  <c:v>0.122</c:v>
                </c:pt>
                <c:pt idx="33">
                  <c:v>0.123</c:v>
                </c:pt>
                <c:pt idx="34">
                  <c:v>0.124</c:v>
                </c:pt>
                <c:pt idx="35">
                  <c:v>0.125</c:v>
                </c:pt>
                <c:pt idx="36">
                  <c:v>0.126</c:v>
                </c:pt>
                <c:pt idx="37">
                  <c:v>0.127</c:v>
                </c:pt>
                <c:pt idx="38">
                  <c:v>0.128</c:v>
                </c:pt>
                <c:pt idx="39">
                  <c:v>0.129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0.15000000000000002</c:v>
                </c:pt>
                <c:pt idx="43">
                  <c:v>0.16000000000000003</c:v>
                </c:pt>
                <c:pt idx="44">
                  <c:v>0.17000000000000004</c:v>
                </c:pt>
                <c:pt idx="45">
                  <c:v>0.18000000000000005</c:v>
                </c:pt>
                <c:pt idx="46">
                  <c:v>0.19000000000000006</c:v>
                </c:pt>
                <c:pt idx="47">
                  <c:v>0.20000000000000007</c:v>
                </c:pt>
                <c:pt idx="48">
                  <c:v>0.21000000000000008</c:v>
                </c:pt>
                <c:pt idx="49">
                  <c:v>0.21100000000000008</c:v>
                </c:pt>
                <c:pt idx="50">
                  <c:v>0.21200000000000008</c:v>
                </c:pt>
                <c:pt idx="51">
                  <c:v>0.21300000000000008</c:v>
                </c:pt>
                <c:pt idx="52">
                  <c:v>0.21400000000000008</c:v>
                </c:pt>
                <c:pt idx="53">
                  <c:v>0.21500000000000008</c:v>
                </c:pt>
                <c:pt idx="54">
                  <c:v>0.21600000000000008</c:v>
                </c:pt>
                <c:pt idx="55">
                  <c:v>0.21700000000000008</c:v>
                </c:pt>
                <c:pt idx="56">
                  <c:v>0.21800000000000008</c:v>
                </c:pt>
                <c:pt idx="57">
                  <c:v>0.21900000000000008</c:v>
                </c:pt>
                <c:pt idx="58">
                  <c:v>0.22000000000000008</c:v>
                </c:pt>
                <c:pt idx="59">
                  <c:v>0.22100000000000009</c:v>
                </c:pt>
                <c:pt idx="60">
                  <c:v>0.22200000000000009</c:v>
                </c:pt>
                <c:pt idx="61">
                  <c:v>0.22300000000000009</c:v>
                </c:pt>
                <c:pt idx="62">
                  <c:v>0.22400000000000009</c:v>
                </c:pt>
                <c:pt idx="63">
                  <c:v>0.22500000000000009</c:v>
                </c:pt>
                <c:pt idx="64">
                  <c:v>0.22600000000000009</c:v>
                </c:pt>
                <c:pt idx="65">
                  <c:v>0.22700000000000009</c:v>
                </c:pt>
                <c:pt idx="66">
                  <c:v>0.22800000000000009</c:v>
                </c:pt>
                <c:pt idx="67">
                  <c:v>0.22900000000000009</c:v>
                </c:pt>
                <c:pt idx="68">
                  <c:v>0.23000000000000009</c:v>
                </c:pt>
                <c:pt idx="69">
                  <c:v>0.2400000000000001</c:v>
                </c:pt>
                <c:pt idx="70">
                  <c:v>0.25000000000000011</c:v>
                </c:pt>
                <c:pt idx="71">
                  <c:v>0.26000000000000012</c:v>
                </c:pt>
                <c:pt idx="72">
                  <c:v>0.27000000000000013</c:v>
                </c:pt>
                <c:pt idx="73">
                  <c:v>0.28000000000000014</c:v>
                </c:pt>
                <c:pt idx="74">
                  <c:v>0.29000000000000015</c:v>
                </c:pt>
                <c:pt idx="75">
                  <c:v>0.29100000000000015</c:v>
                </c:pt>
                <c:pt idx="76">
                  <c:v>0.29200000000000015</c:v>
                </c:pt>
                <c:pt idx="77">
                  <c:v>0.29300000000000015</c:v>
                </c:pt>
                <c:pt idx="78">
                  <c:v>0.29400000000000015</c:v>
                </c:pt>
                <c:pt idx="79">
                  <c:v>0.29500000000000015</c:v>
                </c:pt>
                <c:pt idx="80">
                  <c:v>0.29600000000000015</c:v>
                </c:pt>
                <c:pt idx="81">
                  <c:v>0.29700000000000015</c:v>
                </c:pt>
                <c:pt idx="82">
                  <c:v>0.29800000000000015</c:v>
                </c:pt>
                <c:pt idx="83">
                  <c:v>0.29900000000000015</c:v>
                </c:pt>
                <c:pt idx="84">
                  <c:v>0.30000000000000016</c:v>
                </c:pt>
                <c:pt idx="85">
                  <c:v>0.30100000000000016</c:v>
                </c:pt>
                <c:pt idx="86">
                  <c:v>0.30200000000000016</c:v>
                </c:pt>
                <c:pt idx="87">
                  <c:v>0.30300000000000016</c:v>
                </c:pt>
                <c:pt idx="88">
                  <c:v>0.30400000000000016</c:v>
                </c:pt>
                <c:pt idx="89">
                  <c:v>0.30500000000000016</c:v>
                </c:pt>
                <c:pt idx="90">
                  <c:v>0.30600000000000016</c:v>
                </c:pt>
                <c:pt idx="91">
                  <c:v>0.30700000000000016</c:v>
                </c:pt>
                <c:pt idx="92">
                  <c:v>0.30800000000000016</c:v>
                </c:pt>
                <c:pt idx="93">
                  <c:v>0.30900000000000016</c:v>
                </c:pt>
                <c:pt idx="94">
                  <c:v>0.31000000000000016</c:v>
                </c:pt>
                <c:pt idx="95">
                  <c:v>0.31100000000000017</c:v>
                </c:pt>
                <c:pt idx="96">
                  <c:v>0.31200000000000017</c:v>
                </c:pt>
                <c:pt idx="97">
                  <c:v>0.31300000000000017</c:v>
                </c:pt>
                <c:pt idx="98">
                  <c:v>0.31400000000000017</c:v>
                </c:pt>
                <c:pt idx="99">
                  <c:v>0.31500000000000017</c:v>
                </c:pt>
                <c:pt idx="100">
                  <c:v>0.31600000000000017</c:v>
                </c:pt>
                <c:pt idx="101">
                  <c:v>0.31700000000000017</c:v>
                </c:pt>
                <c:pt idx="102">
                  <c:v>0.31800000000000017</c:v>
                </c:pt>
                <c:pt idx="103">
                  <c:v>0.31900000000000017</c:v>
                </c:pt>
                <c:pt idx="104">
                  <c:v>0.32000000000000017</c:v>
                </c:pt>
                <c:pt idx="105">
                  <c:v>0.32100000000000017</c:v>
                </c:pt>
                <c:pt idx="106">
                  <c:v>0.32200000000000017</c:v>
                </c:pt>
                <c:pt idx="107">
                  <c:v>0.32300000000000018</c:v>
                </c:pt>
                <c:pt idx="108">
                  <c:v>0.32400000000000018</c:v>
                </c:pt>
                <c:pt idx="109">
                  <c:v>0.32500000000000018</c:v>
                </c:pt>
                <c:pt idx="110">
                  <c:v>0.32600000000000018</c:v>
                </c:pt>
                <c:pt idx="111">
                  <c:v>0.32700000000000018</c:v>
                </c:pt>
                <c:pt idx="112">
                  <c:v>0.32800000000000018</c:v>
                </c:pt>
                <c:pt idx="113">
                  <c:v>0.32900000000000018</c:v>
                </c:pt>
                <c:pt idx="114">
                  <c:v>0.33000000000000018</c:v>
                </c:pt>
                <c:pt idx="115">
                  <c:v>0.33100000000000018</c:v>
                </c:pt>
                <c:pt idx="116">
                  <c:v>0.33200000000000018</c:v>
                </c:pt>
                <c:pt idx="117">
                  <c:v>0.33300000000000018</c:v>
                </c:pt>
                <c:pt idx="118">
                  <c:v>0.33400000000000019</c:v>
                </c:pt>
                <c:pt idx="119">
                  <c:v>0.33500000000000019</c:v>
                </c:pt>
                <c:pt idx="120">
                  <c:v>0.33600000000000019</c:v>
                </c:pt>
                <c:pt idx="121">
                  <c:v>0.33700000000000019</c:v>
                </c:pt>
                <c:pt idx="122">
                  <c:v>0.33800000000000019</c:v>
                </c:pt>
                <c:pt idx="123">
                  <c:v>0.33900000000000019</c:v>
                </c:pt>
                <c:pt idx="124">
                  <c:v>0.34000000000000019</c:v>
                </c:pt>
                <c:pt idx="125">
                  <c:v>0.3500000000000002</c:v>
                </c:pt>
                <c:pt idx="126">
                  <c:v>0.36000000000000021</c:v>
                </c:pt>
                <c:pt idx="127">
                  <c:v>0.37000000000000022</c:v>
                </c:pt>
                <c:pt idx="128">
                  <c:v>0.38000000000000023</c:v>
                </c:pt>
                <c:pt idx="129">
                  <c:v>0.39000000000000024</c:v>
                </c:pt>
                <c:pt idx="130">
                  <c:v>0.40000000000000024</c:v>
                </c:pt>
                <c:pt idx="131">
                  <c:v>0.41000000000000025</c:v>
                </c:pt>
                <c:pt idx="132">
                  <c:v>0.42000000000000026</c:v>
                </c:pt>
                <c:pt idx="133">
                  <c:v>0.43000000000000027</c:v>
                </c:pt>
                <c:pt idx="134">
                  <c:v>0.44000000000000028</c:v>
                </c:pt>
                <c:pt idx="135">
                  <c:v>0.45000000000000029</c:v>
                </c:pt>
                <c:pt idx="136">
                  <c:v>0.4600000000000003</c:v>
                </c:pt>
                <c:pt idx="137">
                  <c:v>0.47000000000000031</c:v>
                </c:pt>
                <c:pt idx="138">
                  <c:v>0.48000000000000032</c:v>
                </c:pt>
                <c:pt idx="139">
                  <c:v>0.49000000000000032</c:v>
                </c:pt>
                <c:pt idx="140">
                  <c:v>0.50000000000000033</c:v>
                </c:pt>
                <c:pt idx="141">
                  <c:v>0.51000000000000034</c:v>
                </c:pt>
                <c:pt idx="142">
                  <c:v>0.52000000000000035</c:v>
                </c:pt>
                <c:pt idx="143">
                  <c:v>0.53000000000000036</c:v>
                </c:pt>
                <c:pt idx="144">
                  <c:v>0.54000000000000037</c:v>
                </c:pt>
                <c:pt idx="145">
                  <c:v>0.55000000000000038</c:v>
                </c:pt>
                <c:pt idx="146">
                  <c:v>0.56000000000000039</c:v>
                </c:pt>
                <c:pt idx="147">
                  <c:v>0.5700000000000004</c:v>
                </c:pt>
                <c:pt idx="148">
                  <c:v>0.5800000000000004</c:v>
                </c:pt>
                <c:pt idx="149">
                  <c:v>0.59000000000000041</c:v>
                </c:pt>
                <c:pt idx="150">
                  <c:v>0.60000000000000042</c:v>
                </c:pt>
                <c:pt idx="151">
                  <c:v>0.60100000000000042</c:v>
                </c:pt>
                <c:pt idx="152">
                  <c:v>0.60200000000000042</c:v>
                </c:pt>
                <c:pt idx="153">
                  <c:v>0.60300000000000042</c:v>
                </c:pt>
                <c:pt idx="154">
                  <c:v>0.60400000000000043</c:v>
                </c:pt>
                <c:pt idx="155">
                  <c:v>0.60500000000000043</c:v>
                </c:pt>
                <c:pt idx="156">
                  <c:v>0.60600000000000043</c:v>
                </c:pt>
                <c:pt idx="157">
                  <c:v>0.60700000000000043</c:v>
                </c:pt>
                <c:pt idx="158">
                  <c:v>0.60800000000000043</c:v>
                </c:pt>
                <c:pt idx="159">
                  <c:v>0.60900000000000043</c:v>
                </c:pt>
                <c:pt idx="160">
                  <c:v>0.61000000000000043</c:v>
                </c:pt>
                <c:pt idx="161">
                  <c:v>0.61100000000000043</c:v>
                </c:pt>
                <c:pt idx="162">
                  <c:v>0.61200000000000043</c:v>
                </c:pt>
                <c:pt idx="163">
                  <c:v>0.61300000000000043</c:v>
                </c:pt>
                <c:pt idx="164">
                  <c:v>0.61400000000000043</c:v>
                </c:pt>
                <c:pt idx="165">
                  <c:v>0.61500000000000044</c:v>
                </c:pt>
                <c:pt idx="166">
                  <c:v>0.61600000000000044</c:v>
                </c:pt>
                <c:pt idx="167">
                  <c:v>0.61700000000000044</c:v>
                </c:pt>
                <c:pt idx="168">
                  <c:v>0.61800000000000044</c:v>
                </c:pt>
                <c:pt idx="169">
                  <c:v>0.61900000000000044</c:v>
                </c:pt>
                <c:pt idx="170">
                  <c:v>0.62000000000000044</c:v>
                </c:pt>
              </c:numCache>
            </c:numRef>
          </c:xVal>
          <c:yVal>
            <c:numRef>
              <c:f>'実験2-SFD図とBMD図の自動作成'!$H$59:$H$229</c:f>
              <c:numCache>
                <c:formatCode>General</c:formatCode>
                <c:ptCount val="171"/>
                <c:pt idx="0">
                  <c:v>0</c:v>
                </c:pt>
                <c:pt idx="1">
                  <c:v>-9.167741935483871E-3</c:v>
                </c:pt>
                <c:pt idx="2">
                  <c:v>-1.8335483870967742E-2</c:v>
                </c:pt>
                <c:pt idx="3">
                  <c:v>-2.7503225806451613E-2</c:v>
                </c:pt>
                <c:pt idx="4">
                  <c:v>-3.6670967741935484E-2</c:v>
                </c:pt>
                <c:pt idx="5">
                  <c:v>-4.5838709677419355E-2</c:v>
                </c:pt>
                <c:pt idx="6">
                  <c:v>-5.5006451612903226E-2</c:v>
                </c:pt>
                <c:pt idx="7">
                  <c:v>-6.4174193548387104E-2</c:v>
                </c:pt>
                <c:pt idx="8">
                  <c:v>-7.3341935483870968E-2</c:v>
                </c:pt>
                <c:pt idx="9">
                  <c:v>-8.2509677419354846E-2</c:v>
                </c:pt>
                <c:pt idx="10">
                  <c:v>-9.1677419354838724E-2</c:v>
                </c:pt>
                <c:pt idx="11">
                  <c:v>-0.18335483870967745</c:v>
                </c:pt>
                <c:pt idx="12">
                  <c:v>-0.2750322580645162</c:v>
                </c:pt>
                <c:pt idx="13">
                  <c:v>-0.3667096774193549</c:v>
                </c:pt>
                <c:pt idx="14">
                  <c:v>-0.45838709677419365</c:v>
                </c:pt>
                <c:pt idx="15">
                  <c:v>-0.5500645161290324</c:v>
                </c:pt>
                <c:pt idx="16">
                  <c:v>-0.64174193548387104</c:v>
                </c:pt>
                <c:pt idx="17">
                  <c:v>-0.73341935483870968</c:v>
                </c:pt>
                <c:pt idx="18">
                  <c:v>-0.82509677419354832</c:v>
                </c:pt>
                <c:pt idx="19">
                  <c:v>-0.91677419354838707</c:v>
                </c:pt>
                <c:pt idx="20">
                  <c:v>-1.0084516129032257</c:v>
                </c:pt>
                <c:pt idx="21">
                  <c:v>-1.0176193548387096</c:v>
                </c:pt>
                <c:pt idx="22">
                  <c:v>-1.0267870967741934</c:v>
                </c:pt>
                <c:pt idx="23">
                  <c:v>-1.0359548387096773</c:v>
                </c:pt>
                <c:pt idx="24">
                  <c:v>-1.0451225806451612</c:v>
                </c:pt>
                <c:pt idx="25">
                  <c:v>-1.054290322580645</c:v>
                </c:pt>
                <c:pt idx="26">
                  <c:v>-1.0634580645161289</c:v>
                </c:pt>
                <c:pt idx="27">
                  <c:v>-1.0726258064516128</c:v>
                </c:pt>
                <c:pt idx="28">
                  <c:v>-1.0817935483870968</c:v>
                </c:pt>
                <c:pt idx="29">
                  <c:v>-1.0909612903225807</c:v>
                </c:pt>
                <c:pt idx="30">
                  <c:v>-1.1001290322580646</c:v>
                </c:pt>
                <c:pt idx="31">
                  <c:v>-1.1092967741935484</c:v>
                </c:pt>
                <c:pt idx="32">
                  <c:v>-1.1184645161290323</c:v>
                </c:pt>
                <c:pt idx="33">
                  <c:v>-1.1276322580645162</c:v>
                </c:pt>
                <c:pt idx="34">
                  <c:v>-1.1368</c:v>
                </c:pt>
                <c:pt idx="35">
                  <c:v>-1.1459677419354839</c:v>
                </c:pt>
                <c:pt idx="36">
                  <c:v>-1.1551354838709678</c:v>
                </c:pt>
                <c:pt idx="37">
                  <c:v>-1.1643032258064516</c:v>
                </c:pt>
                <c:pt idx="38">
                  <c:v>-1.1734709677419355</c:v>
                </c:pt>
                <c:pt idx="39">
                  <c:v>-1.1826387096774194</c:v>
                </c:pt>
                <c:pt idx="40">
                  <c:v>-1.1918064516129032</c:v>
                </c:pt>
                <c:pt idx="41">
                  <c:v>-1.2834838709677421</c:v>
                </c:pt>
                <c:pt idx="42">
                  <c:v>-1.3751612903225809</c:v>
                </c:pt>
                <c:pt idx="43">
                  <c:v>-1.4668387096774196</c:v>
                </c:pt>
                <c:pt idx="44">
                  <c:v>-1.5585161290322584</c:v>
                </c:pt>
                <c:pt idx="45">
                  <c:v>-1.6501935483870973</c:v>
                </c:pt>
                <c:pt idx="46">
                  <c:v>-1.7418709677419359</c:v>
                </c:pt>
                <c:pt idx="47">
                  <c:v>-1.8335483870967748</c:v>
                </c:pt>
                <c:pt idx="48">
                  <c:v>-1.9252258064516137</c:v>
                </c:pt>
                <c:pt idx="49">
                  <c:v>-1.9343935483870975</c:v>
                </c:pt>
                <c:pt idx="50">
                  <c:v>-1.9435612903225814</c:v>
                </c:pt>
                <c:pt idx="51">
                  <c:v>-1.9527290322580653</c:v>
                </c:pt>
                <c:pt idx="52">
                  <c:v>-1.9618967741935491</c:v>
                </c:pt>
                <c:pt idx="53">
                  <c:v>-1.971064516129033</c:v>
                </c:pt>
                <c:pt idx="54">
                  <c:v>-1.9802322580645169</c:v>
                </c:pt>
                <c:pt idx="55">
                  <c:v>-1.9894000000000007</c:v>
                </c:pt>
                <c:pt idx="56">
                  <c:v>-1.9985677419354846</c:v>
                </c:pt>
                <c:pt idx="57">
                  <c:v>-2.0077354838709685</c:v>
                </c:pt>
                <c:pt idx="58">
                  <c:v>-2.0169032258064523</c:v>
                </c:pt>
                <c:pt idx="59">
                  <c:v>-2.0260709677419362</c:v>
                </c:pt>
                <c:pt idx="60">
                  <c:v>-2.03523870967742</c:v>
                </c:pt>
                <c:pt idx="61">
                  <c:v>-2.0444064516129039</c:v>
                </c:pt>
                <c:pt idx="62">
                  <c:v>-2.0535741935483878</c:v>
                </c:pt>
                <c:pt idx="63">
                  <c:v>-2.0627419354838716</c:v>
                </c:pt>
                <c:pt idx="64">
                  <c:v>-2.0719096774193555</c:v>
                </c:pt>
                <c:pt idx="65">
                  <c:v>-2.0810774193548398</c:v>
                </c:pt>
                <c:pt idx="66">
                  <c:v>-2.0902451612903237</c:v>
                </c:pt>
                <c:pt idx="67">
                  <c:v>-2.0994129032258075</c:v>
                </c:pt>
                <c:pt idx="68">
                  <c:v>-2.1085806451612914</c:v>
                </c:pt>
                <c:pt idx="69">
                  <c:v>-2.20025806451613</c:v>
                </c:pt>
                <c:pt idx="70">
                  <c:v>-2.2919354838709687</c:v>
                </c:pt>
                <c:pt idx="71">
                  <c:v>-2.3836129032258078</c:v>
                </c:pt>
                <c:pt idx="72">
                  <c:v>-2.4752903225806464</c:v>
                </c:pt>
                <c:pt idx="73">
                  <c:v>-2.566967741935485</c:v>
                </c:pt>
                <c:pt idx="74">
                  <c:v>-2.6586451612903241</c:v>
                </c:pt>
                <c:pt idx="75">
                  <c:v>-2.667812903225808</c:v>
                </c:pt>
                <c:pt idx="76">
                  <c:v>-2.6769806451612919</c:v>
                </c:pt>
                <c:pt idx="77">
                  <c:v>-2.6861483870967757</c:v>
                </c:pt>
                <c:pt idx="78">
                  <c:v>-2.6953161290322596</c:v>
                </c:pt>
                <c:pt idx="79">
                  <c:v>-2.7044838709677435</c:v>
                </c:pt>
                <c:pt idx="80">
                  <c:v>-2.7136516129032273</c:v>
                </c:pt>
                <c:pt idx="81">
                  <c:v>-2.7228193548387112</c:v>
                </c:pt>
                <c:pt idx="82">
                  <c:v>-2.731987096774195</c:v>
                </c:pt>
                <c:pt idx="83">
                  <c:v>-2.7411548387096789</c:v>
                </c:pt>
                <c:pt idx="84">
                  <c:v>-2.7503225806451628</c:v>
                </c:pt>
                <c:pt idx="85">
                  <c:v>-2.7594903225806466</c:v>
                </c:pt>
                <c:pt idx="86">
                  <c:v>-2.7686580645161305</c:v>
                </c:pt>
                <c:pt idx="87">
                  <c:v>-2.7778258064516144</c:v>
                </c:pt>
                <c:pt idx="88">
                  <c:v>-2.7869935483870982</c:v>
                </c:pt>
                <c:pt idx="89">
                  <c:v>-2.7961612903225821</c:v>
                </c:pt>
                <c:pt idx="90">
                  <c:v>-2.805329032258066</c:v>
                </c:pt>
                <c:pt idx="91">
                  <c:v>-2.8144967741935498</c:v>
                </c:pt>
                <c:pt idx="92">
                  <c:v>-2.8236645161290337</c:v>
                </c:pt>
                <c:pt idx="93">
                  <c:v>-2.8328322580645175</c:v>
                </c:pt>
                <c:pt idx="94">
                  <c:v>-2.8420000000000014</c:v>
                </c:pt>
                <c:pt idx="95">
                  <c:v>-2.8511677419354853</c:v>
                </c:pt>
                <c:pt idx="96">
                  <c:v>-2.8603354838709691</c:v>
                </c:pt>
                <c:pt idx="97">
                  <c:v>-2.869503225806453</c:v>
                </c:pt>
                <c:pt idx="98">
                  <c:v>-2.8786709677419369</c:v>
                </c:pt>
                <c:pt idx="99">
                  <c:v>-2.8878387096774212</c:v>
                </c:pt>
                <c:pt idx="100">
                  <c:v>-2.897006451612905</c:v>
                </c:pt>
                <c:pt idx="101">
                  <c:v>-2.9061741935483889</c:v>
                </c:pt>
                <c:pt idx="102">
                  <c:v>-2.9153419354838728</c:v>
                </c:pt>
                <c:pt idx="103">
                  <c:v>-2.9245096774193566</c:v>
                </c:pt>
                <c:pt idx="104">
                  <c:v>-2.9336774193548405</c:v>
                </c:pt>
                <c:pt idx="105">
                  <c:v>-2.9428451612903244</c:v>
                </c:pt>
                <c:pt idx="106">
                  <c:v>-2.9520129032258082</c:v>
                </c:pt>
                <c:pt idx="107">
                  <c:v>-2.9611806451612921</c:v>
                </c:pt>
                <c:pt idx="108">
                  <c:v>-2.970348387096776</c:v>
                </c:pt>
                <c:pt idx="109">
                  <c:v>-2.9795161290322598</c:v>
                </c:pt>
                <c:pt idx="110">
                  <c:v>-2.9886838709677437</c:v>
                </c:pt>
                <c:pt idx="111">
                  <c:v>-2.9978516129032275</c:v>
                </c:pt>
                <c:pt idx="112">
                  <c:v>-3.0070193548387114</c:v>
                </c:pt>
                <c:pt idx="113">
                  <c:v>-3.0161870967741953</c:v>
                </c:pt>
                <c:pt idx="114">
                  <c:v>-3.025354838709676</c:v>
                </c:pt>
                <c:pt idx="115">
                  <c:v>-3.0149225806451598</c:v>
                </c:pt>
                <c:pt idx="116">
                  <c:v>-3.0044903225806436</c:v>
                </c:pt>
                <c:pt idx="117">
                  <c:v>-2.9940580645161274</c:v>
                </c:pt>
                <c:pt idx="118">
                  <c:v>-2.9836258064516112</c:v>
                </c:pt>
                <c:pt idx="119">
                  <c:v>-2.973193548387095</c:v>
                </c:pt>
                <c:pt idx="120">
                  <c:v>-2.9627612903225788</c:v>
                </c:pt>
                <c:pt idx="121">
                  <c:v>-2.9523290322580631</c:v>
                </c:pt>
                <c:pt idx="122">
                  <c:v>-2.9418967741935469</c:v>
                </c:pt>
                <c:pt idx="123">
                  <c:v>-2.9314645161290307</c:v>
                </c:pt>
                <c:pt idx="124">
                  <c:v>-2.9210322580645145</c:v>
                </c:pt>
                <c:pt idx="125">
                  <c:v>-2.816709677419353</c:v>
                </c:pt>
                <c:pt idx="126">
                  <c:v>-2.7123870967741919</c:v>
                </c:pt>
                <c:pt idx="127">
                  <c:v>-2.6080645161290303</c:v>
                </c:pt>
                <c:pt idx="128">
                  <c:v>-2.5037419354838688</c:v>
                </c:pt>
                <c:pt idx="129">
                  <c:v>-2.3994193548387077</c:v>
                </c:pt>
                <c:pt idx="130">
                  <c:v>-2.2950967741935462</c:v>
                </c:pt>
                <c:pt idx="131">
                  <c:v>-2.1907741935483847</c:v>
                </c:pt>
                <c:pt idx="132">
                  <c:v>-2.0864516129032231</c:v>
                </c:pt>
                <c:pt idx="133">
                  <c:v>-1.982129032258062</c:v>
                </c:pt>
                <c:pt idx="134">
                  <c:v>-1.8778064516129005</c:v>
                </c:pt>
                <c:pt idx="135">
                  <c:v>-1.7734838709677392</c:v>
                </c:pt>
                <c:pt idx="136">
                  <c:v>-1.6691612903225777</c:v>
                </c:pt>
                <c:pt idx="137">
                  <c:v>-1.5648387096774163</c:v>
                </c:pt>
                <c:pt idx="138">
                  <c:v>-1.460516129032255</c:v>
                </c:pt>
                <c:pt idx="139">
                  <c:v>-1.3561935483870935</c:v>
                </c:pt>
                <c:pt idx="140">
                  <c:v>-1.2518709677419322</c:v>
                </c:pt>
                <c:pt idx="141">
                  <c:v>-1.1475483870967709</c:v>
                </c:pt>
                <c:pt idx="142">
                  <c:v>-1.0432258064516093</c:v>
                </c:pt>
                <c:pt idx="143">
                  <c:v>-0.93890322580644803</c:v>
                </c:pt>
                <c:pt idx="144">
                  <c:v>-0.83458064516128661</c:v>
                </c:pt>
                <c:pt idx="145">
                  <c:v>-0.73025806451612518</c:v>
                </c:pt>
                <c:pt idx="146">
                  <c:v>-0.62593548387096376</c:v>
                </c:pt>
                <c:pt idx="147">
                  <c:v>-0.52161290322580245</c:v>
                </c:pt>
                <c:pt idx="148">
                  <c:v>-0.41729032258064103</c:v>
                </c:pt>
                <c:pt idx="149">
                  <c:v>-0.3129677419354796</c:v>
                </c:pt>
                <c:pt idx="150">
                  <c:v>-0.20864516129031824</c:v>
                </c:pt>
                <c:pt idx="151">
                  <c:v>-0.1982129032258021</c:v>
                </c:pt>
                <c:pt idx="152">
                  <c:v>-0.18778064516128595</c:v>
                </c:pt>
                <c:pt idx="153">
                  <c:v>-0.17734838709676981</c:v>
                </c:pt>
                <c:pt idx="154">
                  <c:v>-0.16691612903225367</c:v>
                </c:pt>
                <c:pt idx="155">
                  <c:v>-0.15648387096773753</c:v>
                </c:pt>
                <c:pt idx="156">
                  <c:v>-0.14605161290322138</c:v>
                </c:pt>
                <c:pt idx="157">
                  <c:v>-0.13561935483870524</c:v>
                </c:pt>
                <c:pt idx="158">
                  <c:v>-0.1251870967741891</c:v>
                </c:pt>
                <c:pt idx="159">
                  <c:v>-0.11475483870967297</c:v>
                </c:pt>
                <c:pt idx="160">
                  <c:v>-0.10432258064515683</c:v>
                </c:pt>
                <c:pt idx="161">
                  <c:v>-9.3890322580640687E-2</c:v>
                </c:pt>
                <c:pt idx="162">
                  <c:v>-8.3458064516124544E-2</c:v>
                </c:pt>
                <c:pt idx="163">
                  <c:v>-7.3025806451608416E-2</c:v>
                </c:pt>
                <c:pt idx="164">
                  <c:v>-6.2593548387092274E-2</c:v>
                </c:pt>
                <c:pt idx="165">
                  <c:v>-5.2161290322576132E-2</c:v>
                </c:pt>
                <c:pt idx="166">
                  <c:v>-4.1729032258059989E-2</c:v>
                </c:pt>
                <c:pt idx="167">
                  <c:v>-3.1296774193543854E-2</c:v>
                </c:pt>
                <c:pt idx="168">
                  <c:v>-2.0864516129027712E-2</c:v>
                </c:pt>
                <c:pt idx="169">
                  <c:v>-1.0432258064511573E-2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F8-4D5F-B6CC-C05820A0E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944416"/>
        <c:axId val="1203948992"/>
      </c:scatterChart>
      <c:valAx>
        <c:axId val="120394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3948992"/>
        <c:crosses val="autoZero"/>
        <c:crossBetween val="midCat"/>
      </c:valAx>
      <c:valAx>
        <c:axId val="1203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394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合成</a:t>
            </a:r>
            <a:r>
              <a:rPr lang="en-US" altLang="ja-JP"/>
              <a:t>Q</a:t>
            </a:r>
            <a:endParaRPr lang="ja-JP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'実験2-SFD図とBMD図の自動作成'!$B$58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'実験2-SFD図とBMD図の自動作成'!$A$59:$A$229</c:f>
              <c:numCache>
                <c:formatCode>0.000</c:formatCode>
                <c:ptCount val="17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2.0000000000000004E-2</c:v>
                </c:pt>
                <c:pt idx="12">
                  <c:v>3.0000000000000006E-2</c:v>
                </c:pt>
                <c:pt idx="13">
                  <c:v>4.0000000000000008E-2</c:v>
                </c:pt>
                <c:pt idx="14">
                  <c:v>5.000000000000001E-2</c:v>
                </c:pt>
                <c:pt idx="15">
                  <c:v>6.0000000000000012E-2</c:v>
                </c:pt>
                <c:pt idx="16">
                  <c:v>7.0000000000000007E-2</c:v>
                </c:pt>
                <c:pt idx="17">
                  <c:v>0.08</c:v>
                </c:pt>
                <c:pt idx="18">
                  <c:v>0.09</c:v>
                </c:pt>
                <c:pt idx="19">
                  <c:v>9.9999999999999992E-2</c:v>
                </c:pt>
                <c:pt idx="20">
                  <c:v>0.10999999999999999</c:v>
                </c:pt>
                <c:pt idx="21">
                  <c:v>0.11099999999999999</c:v>
                </c:pt>
                <c:pt idx="22">
                  <c:v>0.11199999999999999</c:v>
                </c:pt>
                <c:pt idx="23">
                  <c:v>0.11299999999999999</c:v>
                </c:pt>
                <c:pt idx="24">
                  <c:v>0.11399999999999999</c:v>
                </c:pt>
                <c:pt idx="25">
                  <c:v>0.11499999999999999</c:v>
                </c:pt>
                <c:pt idx="26">
                  <c:v>0.11599999999999999</c:v>
                </c:pt>
                <c:pt idx="27">
                  <c:v>0.11699999999999999</c:v>
                </c:pt>
                <c:pt idx="28">
                  <c:v>0.11799999999999999</c:v>
                </c:pt>
                <c:pt idx="29">
                  <c:v>0.11899999999999999</c:v>
                </c:pt>
                <c:pt idx="30">
                  <c:v>0.12</c:v>
                </c:pt>
                <c:pt idx="31">
                  <c:v>0.121</c:v>
                </c:pt>
                <c:pt idx="32">
                  <c:v>0.122</c:v>
                </c:pt>
                <c:pt idx="33">
                  <c:v>0.123</c:v>
                </c:pt>
                <c:pt idx="34">
                  <c:v>0.124</c:v>
                </c:pt>
                <c:pt idx="35">
                  <c:v>0.125</c:v>
                </c:pt>
                <c:pt idx="36">
                  <c:v>0.126</c:v>
                </c:pt>
                <c:pt idx="37">
                  <c:v>0.127</c:v>
                </c:pt>
                <c:pt idx="38">
                  <c:v>0.128</c:v>
                </c:pt>
                <c:pt idx="39">
                  <c:v>0.129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0.15000000000000002</c:v>
                </c:pt>
                <c:pt idx="43">
                  <c:v>0.16000000000000003</c:v>
                </c:pt>
                <c:pt idx="44">
                  <c:v>0.17000000000000004</c:v>
                </c:pt>
                <c:pt idx="45">
                  <c:v>0.18000000000000005</c:v>
                </c:pt>
                <c:pt idx="46">
                  <c:v>0.19000000000000006</c:v>
                </c:pt>
                <c:pt idx="47">
                  <c:v>0.20000000000000007</c:v>
                </c:pt>
                <c:pt idx="48">
                  <c:v>0.21000000000000008</c:v>
                </c:pt>
                <c:pt idx="49">
                  <c:v>0.21100000000000008</c:v>
                </c:pt>
                <c:pt idx="50">
                  <c:v>0.21200000000000008</c:v>
                </c:pt>
                <c:pt idx="51">
                  <c:v>0.21300000000000008</c:v>
                </c:pt>
                <c:pt idx="52">
                  <c:v>0.21400000000000008</c:v>
                </c:pt>
                <c:pt idx="53">
                  <c:v>0.21500000000000008</c:v>
                </c:pt>
                <c:pt idx="54">
                  <c:v>0.21600000000000008</c:v>
                </c:pt>
                <c:pt idx="55">
                  <c:v>0.21700000000000008</c:v>
                </c:pt>
                <c:pt idx="56">
                  <c:v>0.21800000000000008</c:v>
                </c:pt>
                <c:pt idx="57">
                  <c:v>0.21900000000000008</c:v>
                </c:pt>
                <c:pt idx="58">
                  <c:v>0.22000000000000008</c:v>
                </c:pt>
                <c:pt idx="59">
                  <c:v>0.22100000000000009</c:v>
                </c:pt>
                <c:pt idx="60">
                  <c:v>0.22200000000000009</c:v>
                </c:pt>
                <c:pt idx="61">
                  <c:v>0.22300000000000009</c:v>
                </c:pt>
                <c:pt idx="62">
                  <c:v>0.22400000000000009</c:v>
                </c:pt>
                <c:pt idx="63">
                  <c:v>0.22500000000000009</c:v>
                </c:pt>
                <c:pt idx="64">
                  <c:v>0.22600000000000009</c:v>
                </c:pt>
                <c:pt idx="65">
                  <c:v>0.22700000000000009</c:v>
                </c:pt>
                <c:pt idx="66">
                  <c:v>0.22800000000000009</c:v>
                </c:pt>
                <c:pt idx="67">
                  <c:v>0.22900000000000009</c:v>
                </c:pt>
                <c:pt idx="68">
                  <c:v>0.23000000000000009</c:v>
                </c:pt>
                <c:pt idx="69">
                  <c:v>0.2400000000000001</c:v>
                </c:pt>
                <c:pt idx="70">
                  <c:v>0.25000000000000011</c:v>
                </c:pt>
                <c:pt idx="71">
                  <c:v>0.26000000000000012</c:v>
                </c:pt>
                <c:pt idx="72">
                  <c:v>0.27000000000000013</c:v>
                </c:pt>
                <c:pt idx="73">
                  <c:v>0.28000000000000014</c:v>
                </c:pt>
                <c:pt idx="74">
                  <c:v>0.29000000000000015</c:v>
                </c:pt>
                <c:pt idx="75">
                  <c:v>0.30000000000000016</c:v>
                </c:pt>
                <c:pt idx="76">
                  <c:v>0.30100000000000016</c:v>
                </c:pt>
                <c:pt idx="77">
                  <c:v>0.30200000000000016</c:v>
                </c:pt>
                <c:pt idx="78">
                  <c:v>0.30300000000000016</c:v>
                </c:pt>
                <c:pt idx="79">
                  <c:v>0.30400000000000016</c:v>
                </c:pt>
                <c:pt idx="80">
                  <c:v>0.30500000000000016</c:v>
                </c:pt>
                <c:pt idx="81">
                  <c:v>0.30600000000000016</c:v>
                </c:pt>
                <c:pt idx="82">
                  <c:v>0.30700000000000016</c:v>
                </c:pt>
                <c:pt idx="83">
                  <c:v>0.30800000000000016</c:v>
                </c:pt>
                <c:pt idx="84">
                  <c:v>0.30900000000000016</c:v>
                </c:pt>
                <c:pt idx="85">
                  <c:v>0.31000000000000016</c:v>
                </c:pt>
                <c:pt idx="86">
                  <c:v>0.31100000000000017</c:v>
                </c:pt>
                <c:pt idx="87">
                  <c:v>0.31200000000000017</c:v>
                </c:pt>
                <c:pt idx="88">
                  <c:v>0.31300000000000017</c:v>
                </c:pt>
                <c:pt idx="89">
                  <c:v>0.31400000000000017</c:v>
                </c:pt>
                <c:pt idx="90">
                  <c:v>0.31500000000000017</c:v>
                </c:pt>
                <c:pt idx="91">
                  <c:v>0.31600000000000017</c:v>
                </c:pt>
                <c:pt idx="92">
                  <c:v>0.31700000000000017</c:v>
                </c:pt>
                <c:pt idx="93">
                  <c:v>0.31800000000000017</c:v>
                </c:pt>
                <c:pt idx="94">
                  <c:v>0.31900000000000017</c:v>
                </c:pt>
                <c:pt idx="95">
                  <c:v>0.32000000000000017</c:v>
                </c:pt>
                <c:pt idx="96">
                  <c:v>0.32100000000000017</c:v>
                </c:pt>
                <c:pt idx="97">
                  <c:v>0.32200000000000017</c:v>
                </c:pt>
                <c:pt idx="98">
                  <c:v>0.32300000000000018</c:v>
                </c:pt>
                <c:pt idx="99">
                  <c:v>0.32400000000000018</c:v>
                </c:pt>
                <c:pt idx="100">
                  <c:v>0.32500000000000018</c:v>
                </c:pt>
                <c:pt idx="101">
                  <c:v>0.32600000000000018</c:v>
                </c:pt>
                <c:pt idx="102">
                  <c:v>0.32700000000000018</c:v>
                </c:pt>
                <c:pt idx="103">
                  <c:v>0.32800000000000018</c:v>
                </c:pt>
                <c:pt idx="104">
                  <c:v>0.32900000000000018</c:v>
                </c:pt>
                <c:pt idx="105">
                  <c:v>0.33000000000000018</c:v>
                </c:pt>
                <c:pt idx="106">
                  <c:v>0.34000000000000019</c:v>
                </c:pt>
                <c:pt idx="107">
                  <c:v>0.34100000000000019</c:v>
                </c:pt>
                <c:pt idx="108">
                  <c:v>0.34200000000000019</c:v>
                </c:pt>
                <c:pt idx="109">
                  <c:v>0.34300000000000019</c:v>
                </c:pt>
                <c:pt idx="110">
                  <c:v>0.34400000000000019</c:v>
                </c:pt>
                <c:pt idx="111">
                  <c:v>0.3450000000000002</c:v>
                </c:pt>
                <c:pt idx="112">
                  <c:v>0.3460000000000002</c:v>
                </c:pt>
                <c:pt idx="113">
                  <c:v>0.3470000000000002</c:v>
                </c:pt>
                <c:pt idx="114">
                  <c:v>0.3480000000000002</c:v>
                </c:pt>
                <c:pt idx="115">
                  <c:v>0.3490000000000002</c:v>
                </c:pt>
                <c:pt idx="116">
                  <c:v>0.3500000000000002</c:v>
                </c:pt>
                <c:pt idx="117">
                  <c:v>0.3510000000000002</c:v>
                </c:pt>
                <c:pt idx="118">
                  <c:v>0.3520000000000002</c:v>
                </c:pt>
                <c:pt idx="119">
                  <c:v>0.3530000000000002</c:v>
                </c:pt>
                <c:pt idx="120">
                  <c:v>0.3540000000000002</c:v>
                </c:pt>
                <c:pt idx="121">
                  <c:v>0.3550000000000002</c:v>
                </c:pt>
                <c:pt idx="122">
                  <c:v>0.35600000000000021</c:v>
                </c:pt>
                <c:pt idx="123">
                  <c:v>0.35700000000000021</c:v>
                </c:pt>
                <c:pt idx="124">
                  <c:v>0.35800000000000021</c:v>
                </c:pt>
                <c:pt idx="125">
                  <c:v>0.35900000000000021</c:v>
                </c:pt>
                <c:pt idx="126">
                  <c:v>0.36000000000000021</c:v>
                </c:pt>
                <c:pt idx="127">
                  <c:v>0.37000000000000022</c:v>
                </c:pt>
                <c:pt idx="128">
                  <c:v>0.38000000000000023</c:v>
                </c:pt>
                <c:pt idx="129">
                  <c:v>0.39000000000000024</c:v>
                </c:pt>
                <c:pt idx="130">
                  <c:v>0.40000000000000024</c:v>
                </c:pt>
                <c:pt idx="131">
                  <c:v>0.41000000000000025</c:v>
                </c:pt>
                <c:pt idx="132">
                  <c:v>0.42000000000000026</c:v>
                </c:pt>
                <c:pt idx="133">
                  <c:v>0.43000000000000027</c:v>
                </c:pt>
                <c:pt idx="134">
                  <c:v>0.44000000000000028</c:v>
                </c:pt>
                <c:pt idx="135">
                  <c:v>0.45000000000000029</c:v>
                </c:pt>
                <c:pt idx="136">
                  <c:v>0.4600000000000003</c:v>
                </c:pt>
                <c:pt idx="137">
                  <c:v>0.47000000000000031</c:v>
                </c:pt>
                <c:pt idx="138">
                  <c:v>0.48000000000000032</c:v>
                </c:pt>
                <c:pt idx="139">
                  <c:v>0.49000000000000032</c:v>
                </c:pt>
                <c:pt idx="140">
                  <c:v>0.50000000000000033</c:v>
                </c:pt>
                <c:pt idx="141">
                  <c:v>0.51000000000000034</c:v>
                </c:pt>
                <c:pt idx="142">
                  <c:v>0.52000000000000035</c:v>
                </c:pt>
                <c:pt idx="143">
                  <c:v>0.53000000000000036</c:v>
                </c:pt>
                <c:pt idx="144">
                  <c:v>0.54000000000000037</c:v>
                </c:pt>
                <c:pt idx="145">
                  <c:v>0.55000000000000038</c:v>
                </c:pt>
                <c:pt idx="146">
                  <c:v>0.56000000000000039</c:v>
                </c:pt>
                <c:pt idx="147">
                  <c:v>0.5700000000000004</c:v>
                </c:pt>
                <c:pt idx="148">
                  <c:v>0.5800000000000004</c:v>
                </c:pt>
                <c:pt idx="149">
                  <c:v>0.59000000000000041</c:v>
                </c:pt>
                <c:pt idx="150">
                  <c:v>0.60000000000000042</c:v>
                </c:pt>
                <c:pt idx="151">
                  <c:v>0.60100000000000042</c:v>
                </c:pt>
                <c:pt idx="152">
                  <c:v>0.60200000000000042</c:v>
                </c:pt>
                <c:pt idx="153">
                  <c:v>0.60300000000000042</c:v>
                </c:pt>
                <c:pt idx="154">
                  <c:v>0.60400000000000043</c:v>
                </c:pt>
                <c:pt idx="155">
                  <c:v>0.60500000000000043</c:v>
                </c:pt>
                <c:pt idx="156">
                  <c:v>0.60600000000000043</c:v>
                </c:pt>
                <c:pt idx="157">
                  <c:v>0.60700000000000043</c:v>
                </c:pt>
                <c:pt idx="158">
                  <c:v>0.60800000000000043</c:v>
                </c:pt>
                <c:pt idx="159">
                  <c:v>0.60900000000000043</c:v>
                </c:pt>
                <c:pt idx="160">
                  <c:v>0.61000000000000043</c:v>
                </c:pt>
                <c:pt idx="161">
                  <c:v>0.61100000000000043</c:v>
                </c:pt>
                <c:pt idx="162">
                  <c:v>0.61200000000000043</c:v>
                </c:pt>
                <c:pt idx="163">
                  <c:v>0.61300000000000043</c:v>
                </c:pt>
                <c:pt idx="164">
                  <c:v>0.61400000000000043</c:v>
                </c:pt>
                <c:pt idx="165">
                  <c:v>0.61500000000000044</c:v>
                </c:pt>
                <c:pt idx="166">
                  <c:v>0.61600000000000044</c:v>
                </c:pt>
                <c:pt idx="167">
                  <c:v>0.61700000000000044</c:v>
                </c:pt>
                <c:pt idx="168">
                  <c:v>0.61800000000000044</c:v>
                </c:pt>
                <c:pt idx="169">
                  <c:v>0.61900000000000044</c:v>
                </c:pt>
                <c:pt idx="170">
                  <c:v>0.62000000000000044</c:v>
                </c:pt>
              </c:numCache>
            </c:numRef>
          </c:xVal>
          <c:yVal>
            <c:numRef>
              <c:f>'実験2-SFD図とBMD図の自動作成'!$B$59:$B$229</c:f>
              <c:numCache>
                <c:formatCode>General</c:formatCode>
                <c:ptCount val="171"/>
                <c:pt idx="0">
                  <c:v>0</c:v>
                </c:pt>
                <c:pt idx="1">
                  <c:v>-8.5354838709677434</c:v>
                </c:pt>
                <c:pt idx="2">
                  <c:v>-8.5354838709677434</c:v>
                </c:pt>
                <c:pt idx="3">
                  <c:v>-8.5354838709677434</c:v>
                </c:pt>
                <c:pt idx="4">
                  <c:v>-8.5354838709677434</c:v>
                </c:pt>
                <c:pt idx="5">
                  <c:v>-8.5354838709677434</c:v>
                </c:pt>
                <c:pt idx="6">
                  <c:v>-8.5354838709677434</c:v>
                </c:pt>
                <c:pt idx="7">
                  <c:v>-8.5354838709677434</c:v>
                </c:pt>
                <c:pt idx="8">
                  <c:v>-8.5354838709677434</c:v>
                </c:pt>
                <c:pt idx="9">
                  <c:v>-8.5354838709677434</c:v>
                </c:pt>
                <c:pt idx="10">
                  <c:v>-8.5354838709677434</c:v>
                </c:pt>
                <c:pt idx="11">
                  <c:v>-8.5354838709677434</c:v>
                </c:pt>
                <c:pt idx="12">
                  <c:v>-8.5354838709677434</c:v>
                </c:pt>
                <c:pt idx="13">
                  <c:v>-8.5354838709677434</c:v>
                </c:pt>
                <c:pt idx="14">
                  <c:v>-8.5354838709677434</c:v>
                </c:pt>
                <c:pt idx="15">
                  <c:v>-8.5354838709677434</c:v>
                </c:pt>
                <c:pt idx="16">
                  <c:v>-8.5354838709677434</c:v>
                </c:pt>
                <c:pt idx="17">
                  <c:v>-8.5354838709677434</c:v>
                </c:pt>
                <c:pt idx="18">
                  <c:v>-8.5354838709677434</c:v>
                </c:pt>
                <c:pt idx="19">
                  <c:v>-8.5354838709677434</c:v>
                </c:pt>
                <c:pt idx="20">
                  <c:v>-8.5354838709677434</c:v>
                </c:pt>
                <c:pt idx="21">
                  <c:v>-8.5354838709677434</c:v>
                </c:pt>
                <c:pt idx="22">
                  <c:v>-8.5354838709677434</c:v>
                </c:pt>
                <c:pt idx="23">
                  <c:v>-8.5354838709677434</c:v>
                </c:pt>
                <c:pt idx="24">
                  <c:v>-8.5354838709677434</c:v>
                </c:pt>
                <c:pt idx="25">
                  <c:v>-8.5354838709677434</c:v>
                </c:pt>
                <c:pt idx="26">
                  <c:v>-8.5354838709677434</c:v>
                </c:pt>
                <c:pt idx="27">
                  <c:v>-8.5354838709677434</c:v>
                </c:pt>
                <c:pt idx="28">
                  <c:v>-8.5354838709677434</c:v>
                </c:pt>
                <c:pt idx="29">
                  <c:v>-8.5354838709677434</c:v>
                </c:pt>
                <c:pt idx="30">
                  <c:v>-8.5354838709677434</c:v>
                </c:pt>
                <c:pt idx="31">
                  <c:v>-8.5354838709677434</c:v>
                </c:pt>
                <c:pt idx="32">
                  <c:v>-8.5354838709677434</c:v>
                </c:pt>
                <c:pt idx="33">
                  <c:v>-8.5354838709677434</c:v>
                </c:pt>
                <c:pt idx="34">
                  <c:v>-8.5354838709677434</c:v>
                </c:pt>
                <c:pt idx="35">
                  <c:v>-8.5354838709677434</c:v>
                </c:pt>
                <c:pt idx="36">
                  <c:v>-8.5354838709677434</c:v>
                </c:pt>
                <c:pt idx="37">
                  <c:v>-8.5354838709677434</c:v>
                </c:pt>
                <c:pt idx="38">
                  <c:v>-8.5354838709677434</c:v>
                </c:pt>
                <c:pt idx="39">
                  <c:v>-8.5354838709677434</c:v>
                </c:pt>
                <c:pt idx="40">
                  <c:v>-8.5354838709677434</c:v>
                </c:pt>
                <c:pt idx="41">
                  <c:v>-8.5354838709677434</c:v>
                </c:pt>
                <c:pt idx="42">
                  <c:v>-8.5354838709677434</c:v>
                </c:pt>
                <c:pt idx="43">
                  <c:v>-8.5354838709677434</c:v>
                </c:pt>
                <c:pt idx="44">
                  <c:v>-8.5354838709677434</c:v>
                </c:pt>
                <c:pt idx="45">
                  <c:v>-8.5354838709677434</c:v>
                </c:pt>
                <c:pt idx="46">
                  <c:v>-8.5354838709677434</c:v>
                </c:pt>
                <c:pt idx="47">
                  <c:v>-8.5354838709677434</c:v>
                </c:pt>
                <c:pt idx="48">
                  <c:v>-8.5354838709677434</c:v>
                </c:pt>
                <c:pt idx="49">
                  <c:v>-8.5354838709677434</c:v>
                </c:pt>
                <c:pt idx="50">
                  <c:v>-8.5354838709677434</c:v>
                </c:pt>
                <c:pt idx="51">
                  <c:v>-8.5354838709677434</c:v>
                </c:pt>
                <c:pt idx="52">
                  <c:v>-8.5354838709677434</c:v>
                </c:pt>
                <c:pt idx="53">
                  <c:v>-8.5354838709677434</c:v>
                </c:pt>
                <c:pt idx="54">
                  <c:v>-8.5354838709677434</c:v>
                </c:pt>
                <c:pt idx="55">
                  <c:v>-8.5354838709677434</c:v>
                </c:pt>
                <c:pt idx="56">
                  <c:v>-8.5354838709677434</c:v>
                </c:pt>
                <c:pt idx="57">
                  <c:v>-8.5354838709677434</c:v>
                </c:pt>
                <c:pt idx="58">
                  <c:v>-8.5354838709677434</c:v>
                </c:pt>
                <c:pt idx="59">
                  <c:v>-8.5354838709677434</c:v>
                </c:pt>
                <c:pt idx="60">
                  <c:v>-8.5354838709677434</c:v>
                </c:pt>
                <c:pt idx="61">
                  <c:v>-8.5354838709677434</c:v>
                </c:pt>
                <c:pt idx="62">
                  <c:v>-8.5354838709677434</c:v>
                </c:pt>
                <c:pt idx="63">
                  <c:v>-8.5354838709677434</c:v>
                </c:pt>
                <c:pt idx="64">
                  <c:v>-8.5354838709677434</c:v>
                </c:pt>
                <c:pt idx="65">
                  <c:v>-8.5354838709677434</c:v>
                </c:pt>
                <c:pt idx="66">
                  <c:v>-8.5354838709677434</c:v>
                </c:pt>
                <c:pt idx="67">
                  <c:v>-8.5354838709677434</c:v>
                </c:pt>
                <c:pt idx="68">
                  <c:v>-8.5354838709677434</c:v>
                </c:pt>
                <c:pt idx="69">
                  <c:v>-8.5354838709677434</c:v>
                </c:pt>
                <c:pt idx="70">
                  <c:v>-8.5354838709677434</c:v>
                </c:pt>
                <c:pt idx="71">
                  <c:v>-8.5354838709677434</c:v>
                </c:pt>
                <c:pt idx="72">
                  <c:v>-8.5354838709677434</c:v>
                </c:pt>
                <c:pt idx="73">
                  <c:v>-8.5354838709677434</c:v>
                </c:pt>
                <c:pt idx="74">
                  <c:v>-8.5354838709677434</c:v>
                </c:pt>
                <c:pt idx="75">
                  <c:v>-8.5354838709677434</c:v>
                </c:pt>
                <c:pt idx="76">
                  <c:v>-8.5354838709677434</c:v>
                </c:pt>
                <c:pt idx="77">
                  <c:v>-8.5354838709677434</c:v>
                </c:pt>
                <c:pt idx="78">
                  <c:v>-8.5354838709677434</c:v>
                </c:pt>
                <c:pt idx="79">
                  <c:v>-8.5354838709677434</c:v>
                </c:pt>
                <c:pt idx="80">
                  <c:v>-8.5354838709677434</c:v>
                </c:pt>
                <c:pt idx="81">
                  <c:v>-8.5354838709677434</c:v>
                </c:pt>
                <c:pt idx="82">
                  <c:v>-8.5354838709677434</c:v>
                </c:pt>
                <c:pt idx="83">
                  <c:v>-8.5354838709677434</c:v>
                </c:pt>
                <c:pt idx="84">
                  <c:v>-8.5354838709677434</c:v>
                </c:pt>
                <c:pt idx="85">
                  <c:v>-8.5354838709677434</c:v>
                </c:pt>
                <c:pt idx="86">
                  <c:v>-8.5354838709677434</c:v>
                </c:pt>
                <c:pt idx="87">
                  <c:v>-8.5354838709677434</c:v>
                </c:pt>
                <c:pt idx="88">
                  <c:v>-8.5354838709677434</c:v>
                </c:pt>
                <c:pt idx="89">
                  <c:v>-8.5354838709677434</c:v>
                </c:pt>
                <c:pt idx="90">
                  <c:v>-8.5354838709677434</c:v>
                </c:pt>
                <c:pt idx="91">
                  <c:v>-8.5354838709677434</c:v>
                </c:pt>
                <c:pt idx="92">
                  <c:v>-8.5354838709677434</c:v>
                </c:pt>
                <c:pt idx="93">
                  <c:v>-8.5354838709677434</c:v>
                </c:pt>
                <c:pt idx="94">
                  <c:v>-8.5354838709677434</c:v>
                </c:pt>
                <c:pt idx="95">
                  <c:v>-8.5354838709677434</c:v>
                </c:pt>
                <c:pt idx="96">
                  <c:v>-8.5354838709677434</c:v>
                </c:pt>
                <c:pt idx="97">
                  <c:v>-8.5354838709677434</c:v>
                </c:pt>
                <c:pt idx="98">
                  <c:v>-8.5354838709677434</c:v>
                </c:pt>
                <c:pt idx="99">
                  <c:v>-8.5354838709677434</c:v>
                </c:pt>
                <c:pt idx="100">
                  <c:v>-8.5354838709677434</c:v>
                </c:pt>
                <c:pt idx="101">
                  <c:v>-8.5354838709677434</c:v>
                </c:pt>
                <c:pt idx="102">
                  <c:v>-8.5354838709677434</c:v>
                </c:pt>
                <c:pt idx="103">
                  <c:v>-8.5354838709677434</c:v>
                </c:pt>
                <c:pt idx="104">
                  <c:v>-8.5354838709677434</c:v>
                </c:pt>
                <c:pt idx="105">
                  <c:v>-8.5354838709677434</c:v>
                </c:pt>
                <c:pt idx="106">
                  <c:v>-8.5354838709677434</c:v>
                </c:pt>
                <c:pt idx="107">
                  <c:v>-8.5354838709677434</c:v>
                </c:pt>
                <c:pt idx="108">
                  <c:v>-8.5354838709677434</c:v>
                </c:pt>
                <c:pt idx="109">
                  <c:v>-8.5354838709677434</c:v>
                </c:pt>
                <c:pt idx="110">
                  <c:v>-8.5354838709677434</c:v>
                </c:pt>
                <c:pt idx="111">
                  <c:v>-8.5354838709677434</c:v>
                </c:pt>
                <c:pt idx="112">
                  <c:v>-8.5354838709677434</c:v>
                </c:pt>
                <c:pt idx="113">
                  <c:v>-8.5354838709677434</c:v>
                </c:pt>
                <c:pt idx="114">
                  <c:v>-8.5354838709677434</c:v>
                </c:pt>
                <c:pt idx="115">
                  <c:v>-8.5354838709677434</c:v>
                </c:pt>
                <c:pt idx="116">
                  <c:v>11.064516129032258</c:v>
                </c:pt>
                <c:pt idx="117">
                  <c:v>11.064516129032258</c:v>
                </c:pt>
                <c:pt idx="118">
                  <c:v>11.064516129032258</c:v>
                </c:pt>
                <c:pt idx="119">
                  <c:v>11.064516129032258</c:v>
                </c:pt>
                <c:pt idx="120">
                  <c:v>11.064516129032258</c:v>
                </c:pt>
                <c:pt idx="121">
                  <c:v>11.064516129032258</c:v>
                </c:pt>
                <c:pt idx="122">
                  <c:v>11.064516129032258</c:v>
                </c:pt>
                <c:pt idx="123">
                  <c:v>11.064516129032258</c:v>
                </c:pt>
                <c:pt idx="124">
                  <c:v>11.064516129032258</c:v>
                </c:pt>
                <c:pt idx="125">
                  <c:v>11.064516129032258</c:v>
                </c:pt>
                <c:pt idx="126">
                  <c:v>11.064516129032258</c:v>
                </c:pt>
                <c:pt idx="127">
                  <c:v>11.064516129032258</c:v>
                </c:pt>
                <c:pt idx="128">
                  <c:v>11.064516129032258</c:v>
                </c:pt>
                <c:pt idx="129">
                  <c:v>11.064516129032258</c:v>
                </c:pt>
                <c:pt idx="130">
                  <c:v>11.064516129032258</c:v>
                </c:pt>
                <c:pt idx="131">
                  <c:v>11.064516129032258</c:v>
                </c:pt>
                <c:pt idx="132">
                  <c:v>11.064516129032258</c:v>
                </c:pt>
                <c:pt idx="133">
                  <c:v>11.064516129032258</c:v>
                </c:pt>
                <c:pt idx="134">
                  <c:v>11.064516129032258</c:v>
                </c:pt>
                <c:pt idx="135">
                  <c:v>11.064516129032258</c:v>
                </c:pt>
                <c:pt idx="136">
                  <c:v>11.064516129032258</c:v>
                </c:pt>
                <c:pt idx="137">
                  <c:v>11.064516129032258</c:v>
                </c:pt>
                <c:pt idx="138">
                  <c:v>11.064516129032258</c:v>
                </c:pt>
                <c:pt idx="139">
                  <c:v>11.064516129032258</c:v>
                </c:pt>
                <c:pt idx="140">
                  <c:v>11.064516129032258</c:v>
                </c:pt>
                <c:pt idx="141">
                  <c:v>11.064516129032258</c:v>
                </c:pt>
                <c:pt idx="142">
                  <c:v>11.064516129032258</c:v>
                </c:pt>
                <c:pt idx="143">
                  <c:v>11.064516129032258</c:v>
                </c:pt>
                <c:pt idx="144">
                  <c:v>11.064516129032258</c:v>
                </c:pt>
                <c:pt idx="145">
                  <c:v>11.064516129032258</c:v>
                </c:pt>
                <c:pt idx="146">
                  <c:v>11.064516129032258</c:v>
                </c:pt>
                <c:pt idx="147">
                  <c:v>11.064516129032258</c:v>
                </c:pt>
                <c:pt idx="148">
                  <c:v>11.064516129032258</c:v>
                </c:pt>
                <c:pt idx="149">
                  <c:v>11.064516129032258</c:v>
                </c:pt>
                <c:pt idx="150">
                  <c:v>11.064516129032258</c:v>
                </c:pt>
                <c:pt idx="151">
                  <c:v>11.064516129032258</c:v>
                </c:pt>
                <c:pt idx="152">
                  <c:v>11.064516129032258</c:v>
                </c:pt>
                <c:pt idx="153">
                  <c:v>11.064516129032258</c:v>
                </c:pt>
                <c:pt idx="154">
                  <c:v>11.064516129032258</c:v>
                </c:pt>
                <c:pt idx="155">
                  <c:v>11.064516129032258</c:v>
                </c:pt>
                <c:pt idx="156">
                  <c:v>11.064516129032258</c:v>
                </c:pt>
                <c:pt idx="157">
                  <c:v>11.064516129032258</c:v>
                </c:pt>
                <c:pt idx="158">
                  <c:v>11.064516129032258</c:v>
                </c:pt>
                <c:pt idx="159">
                  <c:v>11.064516129032258</c:v>
                </c:pt>
                <c:pt idx="160">
                  <c:v>11.064516129032258</c:v>
                </c:pt>
                <c:pt idx="161">
                  <c:v>11.064516129032258</c:v>
                </c:pt>
                <c:pt idx="162">
                  <c:v>11.064516129032258</c:v>
                </c:pt>
                <c:pt idx="163">
                  <c:v>11.064516129032258</c:v>
                </c:pt>
                <c:pt idx="164">
                  <c:v>11.064516129032258</c:v>
                </c:pt>
                <c:pt idx="165">
                  <c:v>11.064516129032258</c:v>
                </c:pt>
                <c:pt idx="166">
                  <c:v>11.064516129032258</c:v>
                </c:pt>
                <c:pt idx="167">
                  <c:v>11.064516129032258</c:v>
                </c:pt>
                <c:pt idx="168">
                  <c:v>11.064516129032258</c:v>
                </c:pt>
                <c:pt idx="169">
                  <c:v>11.064516129032258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7C2-4A78-9F70-2A33BC60C333}"/>
            </c:ext>
          </c:extLst>
        </c:ser>
        <c:ser>
          <c:idx val="2"/>
          <c:order val="1"/>
          <c:tx>
            <c:strRef>
              <c:f>'実験2-SFD図とBMD図の自動作成'!$F$58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'実験2-SFD図とBMD図の自動作成'!$E$59:$E$229</c:f>
              <c:numCache>
                <c:formatCode>General</c:formatCode>
                <c:ptCount val="17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2.0000000000000004E-2</c:v>
                </c:pt>
                <c:pt idx="12">
                  <c:v>3.0000000000000006E-2</c:v>
                </c:pt>
                <c:pt idx="13">
                  <c:v>4.0000000000000008E-2</c:v>
                </c:pt>
                <c:pt idx="14">
                  <c:v>5.000000000000001E-2</c:v>
                </c:pt>
                <c:pt idx="15">
                  <c:v>6.0000000000000012E-2</c:v>
                </c:pt>
                <c:pt idx="16">
                  <c:v>7.0000000000000007E-2</c:v>
                </c:pt>
                <c:pt idx="17">
                  <c:v>0.08</c:v>
                </c:pt>
                <c:pt idx="18">
                  <c:v>0.09</c:v>
                </c:pt>
                <c:pt idx="19">
                  <c:v>9.9999999999999992E-2</c:v>
                </c:pt>
                <c:pt idx="20">
                  <c:v>0.10999999999999999</c:v>
                </c:pt>
                <c:pt idx="21">
                  <c:v>0.11099999999999999</c:v>
                </c:pt>
                <c:pt idx="22">
                  <c:v>0.11199999999999999</c:v>
                </c:pt>
                <c:pt idx="23">
                  <c:v>0.11299999999999999</c:v>
                </c:pt>
                <c:pt idx="24">
                  <c:v>0.11399999999999999</c:v>
                </c:pt>
                <c:pt idx="25">
                  <c:v>0.11499999999999999</c:v>
                </c:pt>
                <c:pt idx="26">
                  <c:v>0.11599999999999999</c:v>
                </c:pt>
                <c:pt idx="27">
                  <c:v>0.11699999999999999</c:v>
                </c:pt>
                <c:pt idx="28">
                  <c:v>0.11799999999999999</c:v>
                </c:pt>
                <c:pt idx="29">
                  <c:v>0.11899999999999999</c:v>
                </c:pt>
                <c:pt idx="30">
                  <c:v>0.12</c:v>
                </c:pt>
                <c:pt idx="31">
                  <c:v>0.121</c:v>
                </c:pt>
                <c:pt idx="32">
                  <c:v>0.122</c:v>
                </c:pt>
                <c:pt idx="33">
                  <c:v>0.123</c:v>
                </c:pt>
                <c:pt idx="34">
                  <c:v>0.124</c:v>
                </c:pt>
                <c:pt idx="35">
                  <c:v>0.125</c:v>
                </c:pt>
                <c:pt idx="36">
                  <c:v>0.126</c:v>
                </c:pt>
                <c:pt idx="37">
                  <c:v>0.127</c:v>
                </c:pt>
                <c:pt idx="38">
                  <c:v>0.128</c:v>
                </c:pt>
                <c:pt idx="39">
                  <c:v>0.129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0.15000000000000002</c:v>
                </c:pt>
                <c:pt idx="43">
                  <c:v>0.16000000000000003</c:v>
                </c:pt>
                <c:pt idx="44">
                  <c:v>0.17000000000000004</c:v>
                </c:pt>
                <c:pt idx="45">
                  <c:v>0.18000000000000005</c:v>
                </c:pt>
                <c:pt idx="46">
                  <c:v>0.19000000000000006</c:v>
                </c:pt>
                <c:pt idx="47">
                  <c:v>0.20000000000000007</c:v>
                </c:pt>
                <c:pt idx="48">
                  <c:v>0.21000000000000008</c:v>
                </c:pt>
                <c:pt idx="49">
                  <c:v>0.21100000000000008</c:v>
                </c:pt>
                <c:pt idx="50">
                  <c:v>0.21200000000000008</c:v>
                </c:pt>
                <c:pt idx="51">
                  <c:v>0.21300000000000008</c:v>
                </c:pt>
                <c:pt idx="52">
                  <c:v>0.21400000000000008</c:v>
                </c:pt>
                <c:pt idx="53">
                  <c:v>0.21500000000000008</c:v>
                </c:pt>
                <c:pt idx="54">
                  <c:v>0.21600000000000008</c:v>
                </c:pt>
                <c:pt idx="55">
                  <c:v>0.21700000000000008</c:v>
                </c:pt>
                <c:pt idx="56">
                  <c:v>0.21800000000000008</c:v>
                </c:pt>
                <c:pt idx="57">
                  <c:v>0.21900000000000008</c:v>
                </c:pt>
                <c:pt idx="58">
                  <c:v>0.22000000000000008</c:v>
                </c:pt>
                <c:pt idx="59">
                  <c:v>0.22100000000000009</c:v>
                </c:pt>
                <c:pt idx="60">
                  <c:v>0.22200000000000009</c:v>
                </c:pt>
                <c:pt idx="61">
                  <c:v>0.22300000000000009</c:v>
                </c:pt>
                <c:pt idx="62">
                  <c:v>0.22400000000000009</c:v>
                </c:pt>
                <c:pt idx="63">
                  <c:v>0.22500000000000009</c:v>
                </c:pt>
                <c:pt idx="64">
                  <c:v>0.22600000000000009</c:v>
                </c:pt>
                <c:pt idx="65">
                  <c:v>0.22700000000000009</c:v>
                </c:pt>
                <c:pt idx="66">
                  <c:v>0.22800000000000009</c:v>
                </c:pt>
                <c:pt idx="67">
                  <c:v>0.22900000000000009</c:v>
                </c:pt>
                <c:pt idx="68">
                  <c:v>0.23000000000000009</c:v>
                </c:pt>
                <c:pt idx="69">
                  <c:v>0.2400000000000001</c:v>
                </c:pt>
                <c:pt idx="70">
                  <c:v>0.25000000000000011</c:v>
                </c:pt>
                <c:pt idx="71">
                  <c:v>0.26000000000000012</c:v>
                </c:pt>
                <c:pt idx="72">
                  <c:v>0.27000000000000013</c:v>
                </c:pt>
                <c:pt idx="73">
                  <c:v>0.28000000000000014</c:v>
                </c:pt>
                <c:pt idx="74">
                  <c:v>0.29000000000000015</c:v>
                </c:pt>
                <c:pt idx="75">
                  <c:v>0.29100000000000015</c:v>
                </c:pt>
                <c:pt idx="76">
                  <c:v>0.29200000000000015</c:v>
                </c:pt>
                <c:pt idx="77">
                  <c:v>0.29300000000000015</c:v>
                </c:pt>
                <c:pt idx="78">
                  <c:v>0.29400000000000015</c:v>
                </c:pt>
                <c:pt idx="79">
                  <c:v>0.29500000000000015</c:v>
                </c:pt>
                <c:pt idx="80">
                  <c:v>0.29600000000000015</c:v>
                </c:pt>
                <c:pt idx="81">
                  <c:v>0.29700000000000015</c:v>
                </c:pt>
                <c:pt idx="82">
                  <c:v>0.29800000000000015</c:v>
                </c:pt>
                <c:pt idx="83">
                  <c:v>0.29900000000000015</c:v>
                </c:pt>
                <c:pt idx="84">
                  <c:v>0.30000000000000016</c:v>
                </c:pt>
                <c:pt idx="85">
                  <c:v>0.30100000000000016</c:v>
                </c:pt>
                <c:pt idx="86">
                  <c:v>0.30200000000000016</c:v>
                </c:pt>
                <c:pt idx="87">
                  <c:v>0.30300000000000016</c:v>
                </c:pt>
                <c:pt idx="88">
                  <c:v>0.30400000000000016</c:v>
                </c:pt>
                <c:pt idx="89">
                  <c:v>0.30500000000000016</c:v>
                </c:pt>
                <c:pt idx="90">
                  <c:v>0.30600000000000016</c:v>
                </c:pt>
                <c:pt idx="91">
                  <c:v>0.30700000000000016</c:v>
                </c:pt>
                <c:pt idx="92">
                  <c:v>0.30800000000000016</c:v>
                </c:pt>
                <c:pt idx="93">
                  <c:v>0.30900000000000016</c:v>
                </c:pt>
                <c:pt idx="94">
                  <c:v>0.31000000000000016</c:v>
                </c:pt>
                <c:pt idx="95">
                  <c:v>0.31100000000000017</c:v>
                </c:pt>
                <c:pt idx="96">
                  <c:v>0.31200000000000017</c:v>
                </c:pt>
                <c:pt idx="97">
                  <c:v>0.31300000000000017</c:v>
                </c:pt>
                <c:pt idx="98">
                  <c:v>0.31400000000000017</c:v>
                </c:pt>
                <c:pt idx="99">
                  <c:v>0.31500000000000017</c:v>
                </c:pt>
                <c:pt idx="100">
                  <c:v>0.31600000000000017</c:v>
                </c:pt>
                <c:pt idx="101">
                  <c:v>0.31700000000000017</c:v>
                </c:pt>
                <c:pt idx="102">
                  <c:v>0.31800000000000017</c:v>
                </c:pt>
                <c:pt idx="103">
                  <c:v>0.31900000000000017</c:v>
                </c:pt>
                <c:pt idx="104">
                  <c:v>0.32000000000000017</c:v>
                </c:pt>
                <c:pt idx="105">
                  <c:v>0.32100000000000017</c:v>
                </c:pt>
                <c:pt idx="106">
                  <c:v>0.32200000000000017</c:v>
                </c:pt>
                <c:pt idx="107">
                  <c:v>0.32300000000000018</c:v>
                </c:pt>
                <c:pt idx="108">
                  <c:v>0.32400000000000018</c:v>
                </c:pt>
                <c:pt idx="109">
                  <c:v>0.32500000000000018</c:v>
                </c:pt>
                <c:pt idx="110">
                  <c:v>0.32600000000000018</c:v>
                </c:pt>
                <c:pt idx="111">
                  <c:v>0.32700000000000018</c:v>
                </c:pt>
                <c:pt idx="112">
                  <c:v>0.32800000000000018</c:v>
                </c:pt>
                <c:pt idx="113">
                  <c:v>0.32900000000000018</c:v>
                </c:pt>
                <c:pt idx="114">
                  <c:v>0.33000000000000018</c:v>
                </c:pt>
                <c:pt idx="115">
                  <c:v>0.33100000000000018</c:v>
                </c:pt>
                <c:pt idx="116">
                  <c:v>0.33200000000000018</c:v>
                </c:pt>
                <c:pt idx="117">
                  <c:v>0.33300000000000018</c:v>
                </c:pt>
                <c:pt idx="118">
                  <c:v>0.33400000000000019</c:v>
                </c:pt>
                <c:pt idx="119">
                  <c:v>0.33500000000000019</c:v>
                </c:pt>
                <c:pt idx="120">
                  <c:v>0.33600000000000019</c:v>
                </c:pt>
                <c:pt idx="121">
                  <c:v>0.33700000000000019</c:v>
                </c:pt>
                <c:pt idx="122">
                  <c:v>0.33800000000000019</c:v>
                </c:pt>
                <c:pt idx="123">
                  <c:v>0.33900000000000019</c:v>
                </c:pt>
                <c:pt idx="124">
                  <c:v>0.34000000000000019</c:v>
                </c:pt>
                <c:pt idx="125">
                  <c:v>0.3500000000000002</c:v>
                </c:pt>
                <c:pt idx="126">
                  <c:v>0.36000000000000021</c:v>
                </c:pt>
                <c:pt idx="127">
                  <c:v>0.37000000000000022</c:v>
                </c:pt>
                <c:pt idx="128">
                  <c:v>0.38000000000000023</c:v>
                </c:pt>
                <c:pt idx="129">
                  <c:v>0.39000000000000024</c:v>
                </c:pt>
                <c:pt idx="130">
                  <c:v>0.40000000000000024</c:v>
                </c:pt>
                <c:pt idx="131">
                  <c:v>0.41000000000000025</c:v>
                </c:pt>
                <c:pt idx="132">
                  <c:v>0.42000000000000026</c:v>
                </c:pt>
                <c:pt idx="133">
                  <c:v>0.43000000000000027</c:v>
                </c:pt>
                <c:pt idx="134">
                  <c:v>0.44000000000000028</c:v>
                </c:pt>
                <c:pt idx="135">
                  <c:v>0.45000000000000029</c:v>
                </c:pt>
                <c:pt idx="136">
                  <c:v>0.4600000000000003</c:v>
                </c:pt>
                <c:pt idx="137">
                  <c:v>0.47000000000000031</c:v>
                </c:pt>
                <c:pt idx="138">
                  <c:v>0.48000000000000032</c:v>
                </c:pt>
                <c:pt idx="139">
                  <c:v>0.49000000000000032</c:v>
                </c:pt>
                <c:pt idx="140">
                  <c:v>0.50000000000000033</c:v>
                </c:pt>
                <c:pt idx="141">
                  <c:v>0.51000000000000034</c:v>
                </c:pt>
                <c:pt idx="142">
                  <c:v>0.52000000000000035</c:v>
                </c:pt>
                <c:pt idx="143">
                  <c:v>0.53000000000000036</c:v>
                </c:pt>
                <c:pt idx="144">
                  <c:v>0.54000000000000037</c:v>
                </c:pt>
                <c:pt idx="145">
                  <c:v>0.55000000000000038</c:v>
                </c:pt>
                <c:pt idx="146">
                  <c:v>0.56000000000000039</c:v>
                </c:pt>
                <c:pt idx="147">
                  <c:v>0.5700000000000004</c:v>
                </c:pt>
                <c:pt idx="148">
                  <c:v>0.5800000000000004</c:v>
                </c:pt>
                <c:pt idx="149">
                  <c:v>0.59000000000000041</c:v>
                </c:pt>
                <c:pt idx="150">
                  <c:v>0.60000000000000042</c:v>
                </c:pt>
                <c:pt idx="151">
                  <c:v>0.60100000000000042</c:v>
                </c:pt>
                <c:pt idx="152">
                  <c:v>0.60200000000000042</c:v>
                </c:pt>
                <c:pt idx="153">
                  <c:v>0.60300000000000042</c:v>
                </c:pt>
                <c:pt idx="154">
                  <c:v>0.60400000000000043</c:v>
                </c:pt>
                <c:pt idx="155">
                  <c:v>0.60500000000000043</c:v>
                </c:pt>
                <c:pt idx="156">
                  <c:v>0.60600000000000043</c:v>
                </c:pt>
                <c:pt idx="157">
                  <c:v>0.60700000000000043</c:v>
                </c:pt>
                <c:pt idx="158">
                  <c:v>0.60800000000000043</c:v>
                </c:pt>
                <c:pt idx="159">
                  <c:v>0.60900000000000043</c:v>
                </c:pt>
                <c:pt idx="160">
                  <c:v>0.61000000000000043</c:v>
                </c:pt>
                <c:pt idx="161">
                  <c:v>0.61100000000000043</c:v>
                </c:pt>
                <c:pt idx="162">
                  <c:v>0.61200000000000043</c:v>
                </c:pt>
                <c:pt idx="163">
                  <c:v>0.61300000000000043</c:v>
                </c:pt>
                <c:pt idx="164">
                  <c:v>0.61400000000000043</c:v>
                </c:pt>
                <c:pt idx="165">
                  <c:v>0.61500000000000044</c:v>
                </c:pt>
                <c:pt idx="166">
                  <c:v>0.61600000000000044</c:v>
                </c:pt>
                <c:pt idx="167">
                  <c:v>0.61700000000000044</c:v>
                </c:pt>
                <c:pt idx="168">
                  <c:v>0.61800000000000044</c:v>
                </c:pt>
                <c:pt idx="169">
                  <c:v>0.61900000000000044</c:v>
                </c:pt>
                <c:pt idx="170">
                  <c:v>0.62000000000000044</c:v>
                </c:pt>
              </c:numCache>
            </c:numRef>
          </c:xVal>
          <c:yVal>
            <c:numRef>
              <c:f>'実験2-SFD図とBMD図の自動作成'!$F$59:$F$229</c:f>
              <c:numCache>
                <c:formatCode>General</c:formatCode>
                <c:ptCount val="171"/>
                <c:pt idx="0">
                  <c:v>0</c:v>
                </c:pt>
                <c:pt idx="1">
                  <c:v>-9.1677419354838712</c:v>
                </c:pt>
                <c:pt idx="2">
                  <c:v>-9.1677419354838712</c:v>
                </c:pt>
                <c:pt idx="3">
                  <c:v>-9.1677419354838712</c:v>
                </c:pt>
                <c:pt idx="4">
                  <c:v>-9.1677419354838712</c:v>
                </c:pt>
                <c:pt idx="5">
                  <c:v>-9.1677419354838712</c:v>
                </c:pt>
                <c:pt idx="6">
                  <c:v>-9.1677419354838712</c:v>
                </c:pt>
                <c:pt idx="7">
                  <c:v>-9.1677419354838712</c:v>
                </c:pt>
                <c:pt idx="8">
                  <c:v>-9.1677419354838712</c:v>
                </c:pt>
                <c:pt idx="9">
                  <c:v>-9.1677419354838712</c:v>
                </c:pt>
                <c:pt idx="10">
                  <c:v>-9.1677419354838712</c:v>
                </c:pt>
                <c:pt idx="11">
                  <c:v>-9.1677419354838712</c:v>
                </c:pt>
                <c:pt idx="12">
                  <c:v>-9.1677419354838712</c:v>
                </c:pt>
                <c:pt idx="13">
                  <c:v>-9.1677419354838712</c:v>
                </c:pt>
                <c:pt idx="14">
                  <c:v>-9.1677419354838712</c:v>
                </c:pt>
                <c:pt idx="15">
                  <c:v>-9.1677419354838712</c:v>
                </c:pt>
                <c:pt idx="16">
                  <c:v>-9.1677419354838712</c:v>
                </c:pt>
                <c:pt idx="17">
                  <c:v>-9.1677419354838712</c:v>
                </c:pt>
                <c:pt idx="18">
                  <c:v>-9.1677419354838712</c:v>
                </c:pt>
                <c:pt idx="19">
                  <c:v>-9.1677419354838712</c:v>
                </c:pt>
                <c:pt idx="20">
                  <c:v>-9.1677419354838712</c:v>
                </c:pt>
                <c:pt idx="21">
                  <c:v>-9.1677419354838712</c:v>
                </c:pt>
                <c:pt idx="22">
                  <c:v>-9.1677419354838712</c:v>
                </c:pt>
                <c:pt idx="23">
                  <c:v>-9.1677419354838712</c:v>
                </c:pt>
                <c:pt idx="24">
                  <c:v>-9.1677419354838712</c:v>
                </c:pt>
                <c:pt idx="25">
                  <c:v>-9.1677419354838712</c:v>
                </c:pt>
                <c:pt idx="26">
                  <c:v>-9.1677419354838712</c:v>
                </c:pt>
                <c:pt idx="27">
                  <c:v>-9.1677419354838712</c:v>
                </c:pt>
                <c:pt idx="28">
                  <c:v>-9.1677419354838712</c:v>
                </c:pt>
                <c:pt idx="29">
                  <c:v>-9.1677419354838712</c:v>
                </c:pt>
                <c:pt idx="30">
                  <c:v>-9.1677419354838712</c:v>
                </c:pt>
                <c:pt idx="31">
                  <c:v>-9.1677419354838712</c:v>
                </c:pt>
                <c:pt idx="32">
                  <c:v>-9.1677419354838712</c:v>
                </c:pt>
                <c:pt idx="33">
                  <c:v>-9.1677419354838712</c:v>
                </c:pt>
                <c:pt idx="34">
                  <c:v>-9.1677419354838712</c:v>
                </c:pt>
                <c:pt idx="35">
                  <c:v>-9.1677419354838712</c:v>
                </c:pt>
                <c:pt idx="36">
                  <c:v>-9.1677419354838712</c:v>
                </c:pt>
                <c:pt idx="37">
                  <c:v>-9.1677419354838712</c:v>
                </c:pt>
                <c:pt idx="38">
                  <c:v>-9.1677419354838712</c:v>
                </c:pt>
                <c:pt idx="39">
                  <c:v>-9.1677419354838712</c:v>
                </c:pt>
                <c:pt idx="40">
                  <c:v>-9.1677419354838712</c:v>
                </c:pt>
                <c:pt idx="41">
                  <c:v>-9.1677419354838712</c:v>
                </c:pt>
                <c:pt idx="42">
                  <c:v>-9.1677419354838712</c:v>
                </c:pt>
                <c:pt idx="43">
                  <c:v>-9.1677419354838712</c:v>
                </c:pt>
                <c:pt idx="44">
                  <c:v>-9.1677419354838712</c:v>
                </c:pt>
                <c:pt idx="45">
                  <c:v>-9.1677419354838712</c:v>
                </c:pt>
                <c:pt idx="46">
                  <c:v>-9.1677419354838712</c:v>
                </c:pt>
                <c:pt idx="47">
                  <c:v>-9.1677419354838712</c:v>
                </c:pt>
                <c:pt idx="48">
                  <c:v>-9.1677419354838712</c:v>
                </c:pt>
                <c:pt idx="49">
                  <c:v>-9.1677419354838712</c:v>
                </c:pt>
                <c:pt idx="50">
                  <c:v>-9.1677419354838712</c:v>
                </c:pt>
                <c:pt idx="51">
                  <c:v>-9.1677419354838712</c:v>
                </c:pt>
                <c:pt idx="52">
                  <c:v>-9.1677419354838712</c:v>
                </c:pt>
                <c:pt idx="53">
                  <c:v>-9.1677419354838712</c:v>
                </c:pt>
                <c:pt idx="54">
                  <c:v>-9.1677419354838712</c:v>
                </c:pt>
                <c:pt idx="55">
                  <c:v>-9.1677419354838712</c:v>
                </c:pt>
                <c:pt idx="56">
                  <c:v>-9.1677419354838712</c:v>
                </c:pt>
                <c:pt idx="57">
                  <c:v>-9.1677419354838712</c:v>
                </c:pt>
                <c:pt idx="58">
                  <c:v>-9.1677419354838712</c:v>
                </c:pt>
                <c:pt idx="59">
                  <c:v>-9.1677419354838712</c:v>
                </c:pt>
                <c:pt idx="60">
                  <c:v>-9.1677419354838712</c:v>
                </c:pt>
                <c:pt idx="61">
                  <c:v>-9.1677419354838712</c:v>
                </c:pt>
                <c:pt idx="62">
                  <c:v>-9.1677419354838712</c:v>
                </c:pt>
                <c:pt idx="63">
                  <c:v>-9.1677419354838712</c:v>
                </c:pt>
                <c:pt idx="64">
                  <c:v>-9.1677419354838712</c:v>
                </c:pt>
                <c:pt idx="65">
                  <c:v>-9.1677419354838712</c:v>
                </c:pt>
                <c:pt idx="66">
                  <c:v>-9.1677419354838712</c:v>
                </c:pt>
                <c:pt idx="67">
                  <c:v>-9.1677419354838712</c:v>
                </c:pt>
                <c:pt idx="68">
                  <c:v>-9.1677419354838712</c:v>
                </c:pt>
                <c:pt idx="69">
                  <c:v>-9.1677419354838712</c:v>
                </c:pt>
                <c:pt idx="70">
                  <c:v>-9.1677419354838712</c:v>
                </c:pt>
                <c:pt idx="71">
                  <c:v>-9.1677419354838712</c:v>
                </c:pt>
                <c:pt idx="72">
                  <c:v>-9.1677419354838712</c:v>
                </c:pt>
                <c:pt idx="73">
                  <c:v>-9.1677419354838712</c:v>
                </c:pt>
                <c:pt idx="74">
                  <c:v>-9.1677419354838712</c:v>
                </c:pt>
                <c:pt idx="75">
                  <c:v>-9.1677419354838712</c:v>
                </c:pt>
                <c:pt idx="76">
                  <c:v>-9.1677419354838712</c:v>
                </c:pt>
                <c:pt idx="77">
                  <c:v>-9.1677419354838712</c:v>
                </c:pt>
                <c:pt idx="78">
                  <c:v>-9.1677419354838712</c:v>
                </c:pt>
                <c:pt idx="79">
                  <c:v>-9.1677419354838712</c:v>
                </c:pt>
                <c:pt idx="80">
                  <c:v>-9.1677419354838712</c:v>
                </c:pt>
                <c:pt idx="81">
                  <c:v>-9.1677419354838712</c:v>
                </c:pt>
                <c:pt idx="82">
                  <c:v>-9.1677419354838712</c:v>
                </c:pt>
                <c:pt idx="83">
                  <c:v>-9.1677419354838712</c:v>
                </c:pt>
                <c:pt idx="84">
                  <c:v>-9.1677419354838712</c:v>
                </c:pt>
                <c:pt idx="85">
                  <c:v>-9.1677419354838712</c:v>
                </c:pt>
                <c:pt idx="86">
                  <c:v>-9.1677419354838712</c:v>
                </c:pt>
                <c:pt idx="87">
                  <c:v>-9.1677419354838712</c:v>
                </c:pt>
                <c:pt idx="88">
                  <c:v>-9.1677419354838712</c:v>
                </c:pt>
                <c:pt idx="89">
                  <c:v>-9.1677419354838712</c:v>
                </c:pt>
                <c:pt idx="90">
                  <c:v>-9.1677419354838712</c:v>
                </c:pt>
                <c:pt idx="91">
                  <c:v>-9.1677419354838712</c:v>
                </c:pt>
                <c:pt idx="92">
                  <c:v>-9.1677419354838712</c:v>
                </c:pt>
                <c:pt idx="93">
                  <c:v>-9.1677419354838712</c:v>
                </c:pt>
                <c:pt idx="94">
                  <c:v>-9.1677419354838712</c:v>
                </c:pt>
                <c:pt idx="95">
                  <c:v>-9.1677419354838712</c:v>
                </c:pt>
                <c:pt idx="96">
                  <c:v>-9.1677419354838712</c:v>
                </c:pt>
                <c:pt idx="97">
                  <c:v>-9.1677419354838712</c:v>
                </c:pt>
                <c:pt idx="98">
                  <c:v>-9.1677419354838712</c:v>
                </c:pt>
                <c:pt idx="99">
                  <c:v>-9.1677419354838712</c:v>
                </c:pt>
                <c:pt idx="100">
                  <c:v>-9.1677419354838712</c:v>
                </c:pt>
                <c:pt idx="101">
                  <c:v>-9.1677419354838712</c:v>
                </c:pt>
                <c:pt idx="102">
                  <c:v>-9.1677419354838712</c:v>
                </c:pt>
                <c:pt idx="103">
                  <c:v>-9.1677419354838712</c:v>
                </c:pt>
                <c:pt idx="104">
                  <c:v>-9.1677419354838712</c:v>
                </c:pt>
                <c:pt idx="105">
                  <c:v>-9.1677419354838712</c:v>
                </c:pt>
                <c:pt idx="106">
                  <c:v>-9.1677419354838712</c:v>
                </c:pt>
                <c:pt idx="107">
                  <c:v>-9.1677419354838712</c:v>
                </c:pt>
                <c:pt idx="108">
                  <c:v>-9.1677419354838712</c:v>
                </c:pt>
                <c:pt idx="109">
                  <c:v>-9.1677419354838712</c:v>
                </c:pt>
                <c:pt idx="110">
                  <c:v>-9.1677419354838712</c:v>
                </c:pt>
                <c:pt idx="111">
                  <c:v>-9.1677419354838712</c:v>
                </c:pt>
                <c:pt idx="112">
                  <c:v>-9.1677419354838712</c:v>
                </c:pt>
                <c:pt idx="113">
                  <c:v>-9.1677419354838712</c:v>
                </c:pt>
                <c:pt idx="114">
                  <c:v>10.43225806451613</c:v>
                </c:pt>
                <c:pt idx="115">
                  <c:v>10.43225806451613</c:v>
                </c:pt>
                <c:pt idx="116">
                  <c:v>10.43225806451613</c:v>
                </c:pt>
                <c:pt idx="117">
                  <c:v>10.43225806451613</c:v>
                </c:pt>
                <c:pt idx="118">
                  <c:v>10.43225806451613</c:v>
                </c:pt>
                <c:pt idx="119">
                  <c:v>10.43225806451613</c:v>
                </c:pt>
                <c:pt idx="120">
                  <c:v>10.43225806451613</c:v>
                </c:pt>
                <c:pt idx="121">
                  <c:v>10.43225806451613</c:v>
                </c:pt>
                <c:pt idx="122">
                  <c:v>10.43225806451613</c:v>
                </c:pt>
                <c:pt idx="123">
                  <c:v>10.43225806451613</c:v>
                </c:pt>
                <c:pt idx="124">
                  <c:v>10.43225806451613</c:v>
                </c:pt>
                <c:pt idx="125">
                  <c:v>10.43225806451613</c:v>
                </c:pt>
                <c:pt idx="126">
                  <c:v>10.43225806451613</c:v>
                </c:pt>
                <c:pt idx="127">
                  <c:v>10.43225806451613</c:v>
                </c:pt>
                <c:pt idx="128">
                  <c:v>10.43225806451613</c:v>
                </c:pt>
                <c:pt idx="129">
                  <c:v>10.43225806451613</c:v>
                </c:pt>
                <c:pt idx="130">
                  <c:v>10.43225806451613</c:v>
                </c:pt>
                <c:pt idx="131">
                  <c:v>10.43225806451613</c:v>
                </c:pt>
                <c:pt idx="132">
                  <c:v>10.43225806451613</c:v>
                </c:pt>
                <c:pt idx="133">
                  <c:v>10.43225806451613</c:v>
                </c:pt>
                <c:pt idx="134">
                  <c:v>10.43225806451613</c:v>
                </c:pt>
                <c:pt idx="135">
                  <c:v>10.43225806451613</c:v>
                </c:pt>
                <c:pt idx="136">
                  <c:v>10.43225806451613</c:v>
                </c:pt>
                <c:pt idx="137">
                  <c:v>10.43225806451613</c:v>
                </c:pt>
                <c:pt idx="138">
                  <c:v>10.43225806451613</c:v>
                </c:pt>
                <c:pt idx="139">
                  <c:v>10.43225806451613</c:v>
                </c:pt>
                <c:pt idx="140">
                  <c:v>10.43225806451613</c:v>
                </c:pt>
                <c:pt idx="141">
                  <c:v>10.43225806451613</c:v>
                </c:pt>
                <c:pt idx="142">
                  <c:v>10.43225806451613</c:v>
                </c:pt>
                <c:pt idx="143">
                  <c:v>10.43225806451613</c:v>
                </c:pt>
                <c:pt idx="144">
                  <c:v>10.43225806451613</c:v>
                </c:pt>
                <c:pt idx="145">
                  <c:v>10.43225806451613</c:v>
                </c:pt>
                <c:pt idx="146">
                  <c:v>10.43225806451613</c:v>
                </c:pt>
                <c:pt idx="147">
                  <c:v>10.43225806451613</c:v>
                </c:pt>
                <c:pt idx="148">
                  <c:v>10.43225806451613</c:v>
                </c:pt>
                <c:pt idx="149">
                  <c:v>10.43225806451613</c:v>
                </c:pt>
                <c:pt idx="150">
                  <c:v>10.43225806451613</c:v>
                </c:pt>
                <c:pt idx="151">
                  <c:v>10.43225806451613</c:v>
                </c:pt>
                <c:pt idx="152">
                  <c:v>10.43225806451613</c:v>
                </c:pt>
                <c:pt idx="153">
                  <c:v>10.43225806451613</c:v>
                </c:pt>
                <c:pt idx="154">
                  <c:v>10.43225806451613</c:v>
                </c:pt>
                <c:pt idx="155">
                  <c:v>10.43225806451613</c:v>
                </c:pt>
                <c:pt idx="156">
                  <c:v>10.43225806451613</c:v>
                </c:pt>
                <c:pt idx="157">
                  <c:v>10.43225806451613</c:v>
                </c:pt>
                <c:pt idx="158">
                  <c:v>10.43225806451613</c:v>
                </c:pt>
                <c:pt idx="159">
                  <c:v>10.43225806451613</c:v>
                </c:pt>
                <c:pt idx="160">
                  <c:v>10.43225806451613</c:v>
                </c:pt>
                <c:pt idx="161">
                  <c:v>10.43225806451613</c:v>
                </c:pt>
                <c:pt idx="162">
                  <c:v>10.43225806451613</c:v>
                </c:pt>
                <c:pt idx="163">
                  <c:v>10.43225806451613</c:v>
                </c:pt>
                <c:pt idx="164">
                  <c:v>10.43225806451613</c:v>
                </c:pt>
                <c:pt idx="165">
                  <c:v>10.43225806451613</c:v>
                </c:pt>
                <c:pt idx="166">
                  <c:v>10.43225806451613</c:v>
                </c:pt>
                <c:pt idx="167">
                  <c:v>10.43225806451613</c:v>
                </c:pt>
                <c:pt idx="168">
                  <c:v>10.43225806451613</c:v>
                </c:pt>
                <c:pt idx="169">
                  <c:v>10.43225806451613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7C2-4A78-9F70-2A33BC60C333}"/>
            </c:ext>
          </c:extLst>
        </c:ser>
        <c:ser>
          <c:idx val="0"/>
          <c:order val="2"/>
          <c:tx>
            <c:strRef>
              <c:f>'実験2-SFD図とBMD図の自動作成'!$J$58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'実験2-SFD図とBMD図の自動作成'!$I$59:$I$229</c:f>
              <c:numCache>
                <c:formatCode>General</c:formatCode>
                <c:ptCount val="17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2.0000000000000004E-2</c:v>
                </c:pt>
                <c:pt idx="12">
                  <c:v>3.0000000000000006E-2</c:v>
                </c:pt>
                <c:pt idx="13">
                  <c:v>4.0000000000000008E-2</c:v>
                </c:pt>
                <c:pt idx="14">
                  <c:v>5.000000000000001E-2</c:v>
                </c:pt>
                <c:pt idx="15">
                  <c:v>6.0000000000000012E-2</c:v>
                </c:pt>
                <c:pt idx="16">
                  <c:v>7.0000000000000007E-2</c:v>
                </c:pt>
                <c:pt idx="17">
                  <c:v>0.08</c:v>
                </c:pt>
                <c:pt idx="18">
                  <c:v>0.09</c:v>
                </c:pt>
                <c:pt idx="19">
                  <c:v>9.9999999999999992E-2</c:v>
                </c:pt>
                <c:pt idx="20">
                  <c:v>0.10999999999999999</c:v>
                </c:pt>
                <c:pt idx="21">
                  <c:v>0.11099999999999999</c:v>
                </c:pt>
                <c:pt idx="22">
                  <c:v>0.11199999999999999</c:v>
                </c:pt>
                <c:pt idx="23">
                  <c:v>0.11299999999999999</c:v>
                </c:pt>
                <c:pt idx="24">
                  <c:v>0.11399999999999999</c:v>
                </c:pt>
                <c:pt idx="25">
                  <c:v>0.11499999999999999</c:v>
                </c:pt>
                <c:pt idx="26">
                  <c:v>0.11599999999999999</c:v>
                </c:pt>
                <c:pt idx="27">
                  <c:v>0.11699999999999999</c:v>
                </c:pt>
                <c:pt idx="28">
                  <c:v>0.11799999999999999</c:v>
                </c:pt>
                <c:pt idx="29">
                  <c:v>0.11899999999999999</c:v>
                </c:pt>
                <c:pt idx="30">
                  <c:v>0.12</c:v>
                </c:pt>
                <c:pt idx="31">
                  <c:v>0.121</c:v>
                </c:pt>
                <c:pt idx="32">
                  <c:v>0.122</c:v>
                </c:pt>
                <c:pt idx="33">
                  <c:v>0.123</c:v>
                </c:pt>
                <c:pt idx="34">
                  <c:v>0.124</c:v>
                </c:pt>
                <c:pt idx="35">
                  <c:v>0.125</c:v>
                </c:pt>
                <c:pt idx="36">
                  <c:v>0.126</c:v>
                </c:pt>
                <c:pt idx="37">
                  <c:v>0.127</c:v>
                </c:pt>
                <c:pt idx="38">
                  <c:v>0.128</c:v>
                </c:pt>
                <c:pt idx="39">
                  <c:v>0.129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0.15000000000000002</c:v>
                </c:pt>
                <c:pt idx="43">
                  <c:v>0.16000000000000003</c:v>
                </c:pt>
                <c:pt idx="44">
                  <c:v>0.17000000000000004</c:v>
                </c:pt>
                <c:pt idx="45">
                  <c:v>0.18000000000000005</c:v>
                </c:pt>
                <c:pt idx="46">
                  <c:v>0.19000000000000006</c:v>
                </c:pt>
                <c:pt idx="47">
                  <c:v>0.20000000000000007</c:v>
                </c:pt>
                <c:pt idx="48">
                  <c:v>0.21000000000000008</c:v>
                </c:pt>
                <c:pt idx="49">
                  <c:v>0.21100000000000008</c:v>
                </c:pt>
                <c:pt idx="50">
                  <c:v>0.21200000000000008</c:v>
                </c:pt>
                <c:pt idx="51">
                  <c:v>0.21300000000000008</c:v>
                </c:pt>
                <c:pt idx="52">
                  <c:v>0.21400000000000008</c:v>
                </c:pt>
                <c:pt idx="53">
                  <c:v>0.21500000000000008</c:v>
                </c:pt>
                <c:pt idx="54">
                  <c:v>0.21600000000000008</c:v>
                </c:pt>
                <c:pt idx="55">
                  <c:v>0.21700000000000008</c:v>
                </c:pt>
                <c:pt idx="56">
                  <c:v>0.21800000000000008</c:v>
                </c:pt>
                <c:pt idx="57">
                  <c:v>0.21900000000000008</c:v>
                </c:pt>
                <c:pt idx="58">
                  <c:v>0.22000000000000008</c:v>
                </c:pt>
                <c:pt idx="59">
                  <c:v>0.22100000000000009</c:v>
                </c:pt>
                <c:pt idx="60">
                  <c:v>0.22200000000000009</c:v>
                </c:pt>
                <c:pt idx="61">
                  <c:v>0.22300000000000009</c:v>
                </c:pt>
                <c:pt idx="62">
                  <c:v>0.22400000000000009</c:v>
                </c:pt>
                <c:pt idx="63">
                  <c:v>0.22500000000000009</c:v>
                </c:pt>
                <c:pt idx="64">
                  <c:v>0.22600000000000009</c:v>
                </c:pt>
                <c:pt idx="65">
                  <c:v>0.22700000000000009</c:v>
                </c:pt>
                <c:pt idx="66">
                  <c:v>0.22800000000000009</c:v>
                </c:pt>
                <c:pt idx="67">
                  <c:v>0.22900000000000009</c:v>
                </c:pt>
                <c:pt idx="68">
                  <c:v>0.23000000000000009</c:v>
                </c:pt>
                <c:pt idx="69">
                  <c:v>0.2400000000000001</c:v>
                </c:pt>
                <c:pt idx="70">
                  <c:v>0.25000000000000011</c:v>
                </c:pt>
                <c:pt idx="71">
                  <c:v>0.26000000000000012</c:v>
                </c:pt>
                <c:pt idx="72">
                  <c:v>0.27000000000000013</c:v>
                </c:pt>
                <c:pt idx="73">
                  <c:v>0.28000000000000014</c:v>
                </c:pt>
                <c:pt idx="74">
                  <c:v>0.29000000000000015</c:v>
                </c:pt>
                <c:pt idx="75">
                  <c:v>0.30000000000000016</c:v>
                </c:pt>
                <c:pt idx="76">
                  <c:v>0.30100000000000016</c:v>
                </c:pt>
                <c:pt idx="77">
                  <c:v>0.30200000000000016</c:v>
                </c:pt>
                <c:pt idx="78">
                  <c:v>0.30300000000000016</c:v>
                </c:pt>
                <c:pt idx="79">
                  <c:v>0.30400000000000016</c:v>
                </c:pt>
                <c:pt idx="80">
                  <c:v>0.30500000000000016</c:v>
                </c:pt>
                <c:pt idx="81">
                  <c:v>0.30600000000000016</c:v>
                </c:pt>
                <c:pt idx="82">
                  <c:v>0.30700000000000016</c:v>
                </c:pt>
                <c:pt idx="83">
                  <c:v>0.30800000000000016</c:v>
                </c:pt>
                <c:pt idx="84">
                  <c:v>0.30900000000000016</c:v>
                </c:pt>
                <c:pt idx="85">
                  <c:v>0.31000000000000016</c:v>
                </c:pt>
                <c:pt idx="86">
                  <c:v>0.31100000000000017</c:v>
                </c:pt>
                <c:pt idx="87">
                  <c:v>0.31200000000000017</c:v>
                </c:pt>
                <c:pt idx="88">
                  <c:v>0.31300000000000017</c:v>
                </c:pt>
                <c:pt idx="89">
                  <c:v>0.31400000000000017</c:v>
                </c:pt>
                <c:pt idx="90">
                  <c:v>0.31500000000000017</c:v>
                </c:pt>
                <c:pt idx="91">
                  <c:v>0.31600000000000017</c:v>
                </c:pt>
                <c:pt idx="92">
                  <c:v>0.31700000000000017</c:v>
                </c:pt>
                <c:pt idx="93">
                  <c:v>0.31800000000000017</c:v>
                </c:pt>
                <c:pt idx="94">
                  <c:v>0.31900000000000017</c:v>
                </c:pt>
                <c:pt idx="95">
                  <c:v>0.32000000000000017</c:v>
                </c:pt>
                <c:pt idx="96">
                  <c:v>0.32100000000000017</c:v>
                </c:pt>
                <c:pt idx="97">
                  <c:v>0.32200000000000017</c:v>
                </c:pt>
                <c:pt idx="98">
                  <c:v>0.32300000000000018</c:v>
                </c:pt>
                <c:pt idx="99">
                  <c:v>0.32400000000000018</c:v>
                </c:pt>
                <c:pt idx="100">
                  <c:v>0.32500000000000018</c:v>
                </c:pt>
                <c:pt idx="101">
                  <c:v>0.32600000000000018</c:v>
                </c:pt>
                <c:pt idx="102">
                  <c:v>0.32700000000000018</c:v>
                </c:pt>
                <c:pt idx="103">
                  <c:v>0.32800000000000018</c:v>
                </c:pt>
                <c:pt idx="104">
                  <c:v>0.32900000000000018</c:v>
                </c:pt>
                <c:pt idx="105">
                  <c:v>0.33000000000000018</c:v>
                </c:pt>
                <c:pt idx="106">
                  <c:v>0.34000000000000019</c:v>
                </c:pt>
                <c:pt idx="107">
                  <c:v>0.34100000000000019</c:v>
                </c:pt>
                <c:pt idx="108">
                  <c:v>0.34200000000000019</c:v>
                </c:pt>
                <c:pt idx="109">
                  <c:v>0.34300000000000019</c:v>
                </c:pt>
                <c:pt idx="110">
                  <c:v>0.34400000000000019</c:v>
                </c:pt>
                <c:pt idx="111">
                  <c:v>0.3450000000000002</c:v>
                </c:pt>
                <c:pt idx="112">
                  <c:v>0.3460000000000002</c:v>
                </c:pt>
                <c:pt idx="113">
                  <c:v>0.3470000000000002</c:v>
                </c:pt>
                <c:pt idx="114">
                  <c:v>0.3480000000000002</c:v>
                </c:pt>
                <c:pt idx="115">
                  <c:v>0.3490000000000002</c:v>
                </c:pt>
                <c:pt idx="116">
                  <c:v>0.3500000000000002</c:v>
                </c:pt>
                <c:pt idx="117">
                  <c:v>0.3510000000000002</c:v>
                </c:pt>
                <c:pt idx="118">
                  <c:v>0.3520000000000002</c:v>
                </c:pt>
                <c:pt idx="119">
                  <c:v>0.3530000000000002</c:v>
                </c:pt>
                <c:pt idx="120">
                  <c:v>0.3540000000000002</c:v>
                </c:pt>
                <c:pt idx="121">
                  <c:v>0.3550000000000002</c:v>
                </c:pt>
                <c:pt idx="122">
                  <c:v>0.35600000000000021</c:v>
                </c:pt>
                <c:pt idx="123">
                  <c:v>0.35700000000000021</c:v>
                </c:pt>
                <c:pt idx="124">
                  <c:v>0.35800000000000021</c:v>
                </c:pt>
                <c:pt idx="125">
                  <c:v>0.35900000000000021</c:v>
                </c:pt>
                <c:pt idx="126">
                  <c:v>0.36000000000000021</c:v>
                </c:pt>
                <c:pt idx="127">
                  <c:v>0.37000000000000022</c:v>
                </c:pt>
                <c:pt idx="128">
                  <c:v>0.38000000000000023</c:v>
                </c:pt>
                <c:pt idx="129">
                  <c:v>0.39000000000000024</c:v>
                </c:pt>
                <c:pt idx="130">
                  <c:v>0.40000000000000024</c:v>
                </c:pt>
                <c:pt idx="131">
                  <c:v>0.41000000000000025</c:v>
                </c:pt>
                <c:pt idx="132">
                  <c:v>0.42000000000000026</c:v>
                </c:pt>
                <c:pt idx="133">
                  <c:v>0.43000000000000027</c:v>
                </c:pt>
                <c:pt idx="134">
                  <c:v>0.44000000000000028</c:v>
                </c:pt>
                <c:pt idx="135">
                  <c:v>0.45000000000000029</c:v>
                </c:pt>
                <c:pt idx="136">
                  <c:v>0.4600000000000003</c:v>
                </c:pt>
                <c:pt idx="137">
                  <c:v>0.47000000000000031</c:v>
                </c:pt>
                <c:pt idx="138">
                  <c:v>0.48000000000000032</c:v>
                </c:pt>
                <c:pt idx="139">
                  <c:v>0.49000000000000032</c:v>
                </c:pt>
                <c:pt idx="140">
                  <c:v>0.50000000000000033</c:v>
                </c:pt>
                <c:pt idx="141">
                  <c:v>0.51000000000000034</c:v>
                </c:pt>
                <c:pt idx="142">
                  <c:v>0.52000000000000035</c:v>
                </c:pt>
                <c:pt idx="143">
                  <c:v>0.53000000000000036</c:v>
                </c:pt>
                <c:pt idx="144">
                  <c:v>0.54000000000000037</c:v>
                </c:pt>
                <c:pt idx="145">
                  <c:v>0.55000000000000038</c:v>
                </c:pt>
                <c:pt idx="146">
                  <c:v>0.56000000000000039</c:v>
                </c:pt>
                <c:pt idx="147">
                  <c:v>0.5700000000000004</c:v>
                </c:pt>
                <c:pt idx="148">
                  <c:v>0.5800000000000004</c:v>
                </c:pt>
                <c:pt idx="149">
                  <c:v>0.59000000000000041</c:v>
                </c:pt>
                <c:pt idx="150">
                  <c:v>0.60000000000000042</c:v>
                </c:pt>
                <c:pt idx="151">
                  <c:v>0.60100000000000042</c:v>
                </c:pt>
                <c:pt idx="152">
                  <c:v>0.60200000000000042</c:v>
                </c:pt>
                <c:pt idx="153">
                  <c:v>0.60300000000000042</c:v>
                </c:pt>
                <c:pt idx="154">
                  <c:v>0.60400000000000043</c:v>
                </c:pt>
                <c:pt idx="155">
                  <c:v>0.60500000000000043</c:v>
                </c:pt>
                <c:pt idx="156">
                  <c:v>0.60600000000000043</c:v>
                </c:pt>
                <c:pt idx="157">
                  <c:v>0.60700000000000043</c:v>
                </c:pt>
                <c:pt idx="158">
                  <c:v>0.60800000000000043</c:v>
                </c:pt>
                <c:pt idx="159">
                  <c:v>0.60900000000000043</c:v>
                </c:pt>
                <c:pt idx="160">
                  <c:v>0.61000000000000043</c:v>
                </c:pt>
                <c:pt idx="161">
                  <c:v>0.61100000000000043</c:v>
                </c:pt>
                <c:pt idx="162">
                  <c:v>0.61200000000000043</c:v>
                </c:pt>
                <c:pt idx="163">
                  <c:v>0.61300000000000043</c:v>
                </c:pt>
                <c:pt idx="164">
                  <c:v>0.61400000000000043</c:v>
                </c:pt>
                <c:pt idx="165">
                  <c:v>0.61500000000000044</c:v>
                </c:pt>
                <c:pt idx="166">
                  <c:v>0.61600000000000044</c:v>
                </c:pt>
                <c:pt idx="167">
                  <c:v>0.61700000000000044</c:v>
                </c:pt>
                <c:pt idx="168">
                  <c:v>0.61800000000000044</c:v>
                </c:pt>
                <c:pt idx="169">
                  <c:v>0.61900000000000044</c:v>
                </c:pt>
                <c:pt idx="170">
                  <c:v>0.62000000000000044</c:v>
                </c:pt>
              </c:numCache>
            </c:numRef>
          </c:xVal>
          <c:yVal>
            <c:numRef>
              <c:f>'実験2-SFD図とBMD図の自動作成'!$J$59:$J$229</c:f>
              <c:numCache>
                <c:formatCode>General</c:formatCode>
                <c:ptCount val="171"/>
                <c:pt idx="0">
                  <c:v>0</c:v>
                </c:pt>
                <c:pt idx="1">
                  <c:v>-7.6645161290322594</c:v>
                </c:pt>
                <c:pt idx="2">
                  <c:v>-7.6645161290322594</c:v>
                </c:pt>
                <c:pt idx="3">
                  <c:v>-7.6645161290322594</c:v>
                </c:pt>
                <c:pt idx="4">
                  <c:v>-7.6645161290322594</c:v>
                </c:pt>
                <c:pt idx="5">
                  <c:v>-7.6645161290322594</c:v>
                </c:pt>
                <c:pt idx="6">
                  <c:v>-7.6645161290322594</c:v>
                </c:pt>
                <c:pt idx="7">
                  <c:v>-7.6645161290322594</c:v>
                </c:pt>
                <c:pt idx="8">
                  <c:v>-7.6645161290322594</c:v>
                </c:pt>
                <c:pt idx="9">
                  <c:v>-7.6645161290322594</c:v>
                </c:pt>
                <c:pt idx="10">
                  <c:v>-7.6645161290322594</c:v>
                </c:pt>
                <c:pt idx="11">
                  <c:v>-7.6645161290322594</c:v>
                </c:pt>
                <c:pt idx="12">
                  <c:v>-7.6645161290322594</c:v>
                </c:pt>
                <c:pt idx="13">
                  <c:v>-7.6645161290322594</c:v>
                </c:pt>
                <c:pt idx="14">
                  <c:v>-7.6645161290322594</c:v>
                </c:pt>
                <c:pt idx="15">
                  <c:v>-7.6645161290322594</c:v>
                </c:pt>
                <c:pt idx="16">
                  <c:v>-7.6645161290322594</c:v>
                </c:pt>
                <c:pt idx="17">
                  <c:v>-7.6645161290322594</c:v>
                </c:pt>
                <c:pt idx="18">
                  <c:v>-7.6645161290322594</c:v>
                </c:pt>
                <c:pt idx="19">
                  <c:v>-7.6645161290322594</c:v>
                </c:pt>
                <c:pt idx="20">
                  <c:v>-7.6645161290322594</c:v>
                </c:pt>
                <c:pt idx="21">
                  <c:v>-7.6645161290322594</c:v>
                </c:pt>
                <c:pt idx="22">
                  <c:v>-7.6645161290322594</c:v>
                </c:pt>
                <c:pt idx="23">
                  <c:v>-7.6645161290322594</c:v>
                </c:pt>
                <c:pt idx="24">
                  <c:v>-7.6645161290322594</c:v>
                </c:pt>
                <c:pt idx="25">
                  <c:v>-7.6645161290322594</c:v>
                </c:pt>
                <c:pt idx="26">
                  <c:v>-7.6645161290322594</c:v>
                </c:pt>
                <c:pt idx="27">
                  <c:v>-7.6645161290322594</c:v>
                </c:pt>
                <c:pt idx="28">
                  <c:v>-7.6645161290322594</c:v>
                </c:pt>
                <c:pt idx="29">
                  <c:v>-7.6645161290322594</c:v>
                </c:pt>
                <c:pt idx="30">
                  <c:v>-7.6645161290322594</c:v>
                </c:pt>
                <c:pt idx="31">
                  <c:v>-7.6645161290322594</c:v>
                </c:pt>
                <c:pt idx="32">
                  <c:v>-7.6645161290322594</c:v>
                </c:pt>
                <c:pt idx="33">
                  <c:v>-7.6645161290322594</c:v>
                </c:pt>
                <c:pt idx="34">
                  <c:v>-7.6645161290322594</c:v>
                </c:pt>
                <c:pt idx="35">
                  <c:v>-7.6645161290322594</c:v>
                </c:pt>
                <c:pt idx="36">
                  <c:v>-7.6645161290322594</c:v>
                </c:pt>
                <c:pt idx="37">
                  <c:v>-7.6645161290322594</c:v>
                </c:pt>
                <c:pt idx="38">
                  <c:v>-7.6645161290322594</c:v>
                </c:pt>
                <c:pt idx="39">
                  <c:v>-7.6645161290322594</c:v>
                </c:pt>
                <c:pt idx="40">
                  <c:v>-7.6645161290322594</c:v>
                </c:pt>
                <c:pt idx="41">
                  <c:v>-7.6645161290322594</c:v>
                </c:pt>
                <c:pt idx="42">
                  <c:v>-7.6645161290322594</c:v>
                </c:pt>
                <c:pt idx="43">
                  <c:v>-7.6645161290322594</c:v>
                </c:pt>
                <c:pt idx="44">
                  <c:v>-7.6645161290322594</c:v>
                </c:pt>
                <c:pt idx="45">
                  <c:v>-7.6645161290322594</c:v>
                </c:pt>
                <c:pt idx="46">
                  <c:v>-7.6645161290322594</c:v>
                </c:pt>
                <c:pt idx="47">
                  <c:v>-7.6645161290322594</c:v>
                </c:pt>
                <c:pt idx="48">
                  <c:v>-7.6645161290322594</c:v>
                </c:pt>
                <c:pt idx="49">
                  <c:v>-7.6645161290322594</c:v>
                </c:pt>
                <c:pt idx="50">
                  <c:v>-7.6645161290322594</c:v>
                </c:pt>
                <c:pt idx="51">
                  <c:v>-7.6645161290322594</c:v>
                </c:pt>
                <c:pt idx="52">
                  <c:v>-7.6645161290322594</c:v>
                </c:pt>
                <c:pt idx="53">
                  <c:v>-7.6645161290322594</c:v>
                </c:pt>
                <c:pt idx="54">
                  <c:v>-7.6645161290322594</c:v>
                </c:pt>
                <c:pt idx="55">
                  <c:v>-7.6645161290322594</c:v>
                </c:pt>
                <c:pt idx="56">
                  <c:v>-7.6645161290322594</c:v>
                </c:pt>
                <c:pt idx="57">
                  <c:v>-7.6645161290322594</c:v>
                </c:pt>
                <c:pt idx="58">
                  <c:v>-7.6645161290322594</c:v>
                </c:pt>
                <c:pt idx="59">
                  <c:v>-7.6645161290322594</c:v>
                </c:pt>
                <c:pt idx="60">
                  <c:v>-7.6645161290322594</c:v>
                </c:pt>
                <c:pt idx="61">
                  <c:v>-7.6645161290322594</c:v>
                </c:pt>
                <c:pt idx="62">
                  <c:v>-7.6645161290322594</c:v>
                </c:pt>
                <c:pt idx="63">
                  <c:v>-7.6645161290322594</c:v>
                </c:pt>
                <c:pt idx="64">
                  <c:v>-7.6645161290322594</c:v>
                </c:pt>
                <c:pt idx="65">
                  <c:v>-7.6645161290322594</c:v>
                </c:pt>
                <c:pt idx="66">
                  <c:v>-7.6645161290322594</c:v>
                </c:pt>
                <c:pt idx="67">
                  <c:v>-7.6645161290322594</c:v>
                </c:pt>
                <c:pt idx="68">
                  <c:v>-7.6645161290322594</c:v>
                </c:pt>
                <c:pt idx="69">
                  <c:v>-7.6645161290322594</c:v>
                </c:pt>
                <c:pt idx="70">
                  <c:v>-7.6645161290322594</c:v>
                </c:pt>
                <c:pt idx="71">
                  <c:v>-7.6645161290322594</c:v>
                </c:pt>
                <c:pt idx="72">
                  <c:v>-7.6645161290322594</c:v>
                </c:pt>
                <c:pt idx="73">
                  <c:v>-7.6645161290322594</c:v>
                </c:pt>
                <c:pt idx="74">
                  <c:v>-7.6645161290322594</c:v>
                </c:pt>
                <c:pt idx="75">
                  <c:v>-7.6645161290322594</c:v>
                </c:pt>
                <c:pt idx="76">
                  <c:v>-7.6645161290322594</c:v>
                </c:pt>
                <c:pt idx="77">
                  <c:v>-7.6645161290322594</c:v>
                </c:pt>
                <c:pt idx="78">
                  <c:v>-7.6645161290322594</c:v>
                </c:pt>
                <c:pt idx="79">
                  <c:v>-7.6645161290322594</c:v>
                </c:pt>
                <c:pt idx="80">
                  <c:v>-7.6645161290322594</c:v>
                </c:pt>
                <c:pt idx="81">
                  <c:v>-7.6645161290322594</c:v>
                </c:pt>
                <c:pt idx="82">
                  <c:v>-7.6645161290322594</c:v>
                </c:pt>
                <c:pt idx="83">
                  <c:v>-7.6645161290322594</c:v>
                </c:pt>
                <c:pt idx="84">
                  <c:v>-7.6645161290322594</c:v>
                </c:pt>
                <c:pt idx="85">
                  <c:v>-7.6645161290322594</c:v>
                </c:pt>
                <c:pt idx="86">
                  <c:v>-7.6645161290322594</c:v>
                </c:pt>
                <c:pt idx="87">
                  <c:v>-7.6645161290322594</c:v>
                </c:pt>
                <c:pt idx="88">
                  <c:v>-7.6645161290322594</c:v>
                </c:pt>
                <c:pt idx="89">
                  <c:v>-7.6645161290322594</c:v>
                </c:pt>
                <c:pt idx="90">
                  <c:v>-7.6645161290322594</c:v>
                </c:pt>
                <c:pt idx="91">
                  <c:v>-7.6645161290322594</c:v>
                </c:pt>
                <c:pt idx="92">
                  <c:v>-7.6645161290322594</c:v>
                </c:pt>
                <c:pt idx="93">
                  <c:v>-7.6645161290322594</c:v>
                </c:pt>
                <c:pt idx="94">
                  <c:v>-7.6645161290322594</c:v>
                </c:pt>
                <c:pt idx="95">
                  <c:v>-7.6645161290322594</c:v>
                </c:pt>
                <c:pt idx="96">
                  <c:v>-7.6645161290322594</c:v>
                </c:pt>
                <c:pt idx="97">
                  <c:v>-7.6645161290322594</c:v>
                </c:pt>
                <c:pt idx="98">
                  <c:v>-7.6645161290322594</c:v>
                </c:pt>
                <c:pt idx="99">
                  <c:v>-7.6645161290322594</c:v>
                </c:pt>
                <c:pt idx="100">
                  <c:v>-7.6645161290322594</c:v>
                </c:pt>
                <c:pt idx="101">
                  <c:v>-7.6645161290322594</c:v>
                </c:pt>
                <c:pt idx="102">
                  <c:v>-7.6645161290322594</c:v>
                </c:pt>
                <c:pt idx="103">
                  <c:v>-7.6645161290322594</c:v>
                </c:pt>
                <c:pt idx="104">
                  <c:v>-7.6645161290322594</c:v>
                </c:pt>
                <c:pt idx="105">
                  <c:v>-7.6645161290322594</c:v>
                </c:pt>
                <c:pt idx="106">
                  <c:v>-7.6645161290322594</c:v>
                </c:pt>
                <c:pt idx="107">
                  <c:v>-7.6645161290322594</c:v>
                </c:pt>
                <c:pt idx="108">
                  <c:v>-7.6645161290322594</c:v>
                </c:pt>
                <c:pt idx="109">
                  <c:v>-7.6645161290322594</c:v>
                </c:pt>
                <c:pt idx="110">
                  <c:v>-7.6645161290322594</c:v>
                </c:pt>
                <c:pt idx="111">
                  <c:v>-7.6645161290322594</c:v>
                </c:pt>
                <c:pt idx="112">
                  <c:v>-7.6645161290322594</c:v>
                </c:pt>
                <c:pt idx="113">
                  <c:v>-7.6645161290322594</c:v>
                </c:pt>
                <c:pt idx="114">
                  <c:v>-7.6645161290322594</c:v>
                </c:pt>
                <c:pt idx="115">
                  <c:v>-7.6645161290322594</c:v>
                </c:pt>
                <c:pt idx="116">
                  <c:v>9.935483870967742</c:v>
                </c:pt>
                <c:pt idx="117">
                  <c:v>9.935483870967742</c:v>
                </c:pt>
                <c:pt idx="118">
                  <c:v>9.935483870967742</c:v>
                </c:pt>
                <c:pt idx="119">
                  <c:v>9.935483870967742</c:v>
                </c:pt>
                <c:pt idx="120">
                  <c:v>9.935483870967742</c:v>
                </c:pt>
                <c:pt idx="121">
                  <c:v>9.935483870967742</c:v>
                </c:pt>
                <c:pt idx="122">
                  <c:v>9.935483870967742</c:v>
                </c:pt>
                <c:pt idx="123">
                  <c:v>9.935483870967742</c:v>
                </c:pt>
                <c:pt idx="124">
                  <c:v>9.935483870967742</c:v>
                </c:pt>
                <c:pt idx="125">
                  <c:v>9.935483870967742</c:v>
                </c:pt>
                <c:pt idx="126">
                  <c:v>9.935483870967742</c:v>
                </c:pt>
                <c:pt idx="127">
                  <c:v>9.935483870967742</c:v>
                </c:pt>
                <c:pt idx="128">
                  <c:v>9.935483870967742</c:v>
                </c:pt>
                <c:pt idx="129">
                  <c:v>9.935483870967742</c:v>
                </c:pt>
                <c:pt idx="130">
                  <c:v>9.935483870967742</c:v>
                </c:pt>
                <c:pt idx="131">
                  <c:v>9.935483870967742</c:v>
                </c:pt>
                <c:pt idx="132">
                  <c:v>9.935483870967742</c:v>
                </c:pt>
                <c:pt idx="133">
                  <c:v>9.935483870967742</c:v>
                </c:pt>
                <c:pt idx="134">
                  <c:v>9.935483870967742</c:v>
                </c:pt>
                <c:pt idx="135">
                  <c:v>9.935483870967742</c:v>
                </c:pt>
                <c:pt idx="136">
                  <c:v>9.935483870967742</c:v>
                </c:pt>
                <c:pt idx="137">
                  <c:v>9.935483870967742</c:v>
                </c:pt>
                <c:pt idx="138">
                  <c:v>9.935483870967742</c:v>
                </c:pt>
                <c:pt idx="139">
                  <c:v>9.935483870967742</c:v>
                </c:pt>
                <c:pt idx="140">
                  <c:v>9.935483870967742</c:v>
                </c:pt>
                <c:pt idx="141">
                  <c:v>9.935483870967742</c:v>
                </c:pt>
                <c:pt idx="142">
                  <c:v>9.935483870967742</c:v>
                </c:pt>
                <c:pt idx="143">
                  <c:v>9.935483870967742</c:v>
                </c:pt>
                <c:pt idx="144">
                  <c:v>9.935483870967742</c:v>
                </c:pt>
                <c:pt idx="145">
                  <c:v>9.935483870967742</c:v>
                </c:pt>
                <c:pt idx="146">
                  <c:v>9.935483870967742</c:v>
                </c:pt>
                <c:pt idx="147">
                  <c:v>9.935483870967742</c:v>
                </c:pt>
                <c:pt idx="148">
                  <c:v>9.935483870967742</c:v>
                </c:pt>
                <c:pt idx="149">
                  <c:v>9.935483870967742</c:v>
                </c:pt>
                <c:pt idx="150">
                  <c:v>9.935483870967742</c:v>
                </c:pt>
                <c:pt idx="151">
                  <c:v>9.935483870967742</c:v>
                </c:pt>
                <c:pt idx="152">
                  <c:v>9.935483870967742</c:v>
                </c:pt>
                <c:pt idx="153">
                  <c:v>9.935483870967742</c:v>
                </c:pt>
                <c:pt idx="154">
                  <c:v>9.935483870967742</c:v>
                </c:pt>
                <c:pt idx="155">
                  <c:v>9.935483870967742</c:v>
                </c:pt>
                <c:pt idx="156">
                  <c:v>9.935483870967742</c:v>
                </c:pt>
                <c:pt idx="157">
                  <c:v>9.935483870967742</c:v>
                </c:pt>
                <c:pt idx="158">
                  <c:v>9.935483870967742</c:v>
                </c:pt>
                <c:pt idx="159">
                  <c:v>9.935483870967742</c:v>
                </c:pt>
                <c:pt idx="160">
                  <c:v>9.935483870967742</c:v>
                </c:pt>
                <c:pt idx="161">
                  <c:v>9.935483870967742</c:v>
                </c:pt>
                <c:pt idx="162">
                  <c:v>9.935483870967742</c:v>
                </c:pt>
                <c:pt idx="163">
                  <c:v>9.935483870967742</c:v>
                </c:pt>
                <c:pt idx="164">
                  <c:v>9.935483870967742</c:v>
                </c:pt>
                <c:pt idx="165">
                  <c:v>9.935483870967742</c:v>
                </c:pt>
                <c:pt idx="166">
                  <c:v>9.935483870967742</c:v>
                </c:pt>
                <c:pt idx="167">
                  <c:v>9.935483870967742</c:v>
                </c:pt>
                <c:pt idx="168">
                  <c:v>9.935483870967742</c:v>
                </c:pt>
                <c:pt idx="169">
                  <c:v>9.935483870967742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7C2-4A78-9F70-2A33BC60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806752"/>
        <c:axId val="1202810080"/>
      </c:scatterChart>
      <c:valAx>
        <c:axId val="120280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2810080"/>
        <c:crosses val="autoZero"/>
        <c:crossBetween val="midCat"/>
      </c:valAx>
      <c:valAx>
        <c:axId val="120281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2806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合成</a:t>
            </a:r>
            <a:r>
              <a:rPr lang="en-US" altLang="ja-JP"/>
              <a:t>M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'実験2-SFD図とBMD図の自動作成'!$D$58</c:f>
              <c:strCache>
                <c:ptCount val="1"/>
                <c:pt idx="0">
                  <c:v>M</c:v>
                </c:pt>
              </c:strCache>
            </c:strRef>
          </c:tx>
          <c:marker>
            <c:symbol val="none"/>
          </c:marker>
          <c:xVal>
            <c:numRef>
              <c:f>'実験2-SFD図とBMD図の自動作成'!$C$59:$C$229</c:f>
              <c:numCache>
                <c:formatCode>General</c:formatCode>
                <c:ptCount val="17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2.0000000000000004E-2</c:v>
                </c:pt>
                <c:pt idx="12">
                  <c:v>3.0000000000000006E-2</c:v>
                </c:pt>
                <c:pt idx="13">
                  <c:v>4.0000000000000008E-2</c:v>
                </c:pt>
                <c:pt idx="14">
                  <c:v>5.000000000000001E-2</c:v>
                </c:pt>
                <c:pt idx="15">
                  <c:v>6.0000000000000012E-2</c:v>
                </c:pt>
                <c:pt idx="16">
                  <c:v>7.0000000000000007E-2</c:v>
                </c:pt>
                <c:pt idx="17">
                  <c:v>0.08</c:v>
                </c:pt>
                <c:pt idx="18">
                  <c:v>0.09</c:v>
                </c:pt>
                <c:pt idx="19">
                  <c:v>9.9999999999999992E-2</c:v>
                </c:pt>
                <c:pt idx="20">
                  <c:v>0.10999999999999999</c:v>
                </c:pt>
                <c:pt idx="21">
                  <c:v>0.11099999999999999</c:v>
                </c:pt>
                <c:pt idx="22">
                  <c:v>0.11199999999999999</c:v>
                </c:pt>
                <c:pt idx="23">
                  <c:v>0.11299999999999999</c:v>
                </c:pt>
                <c:pt idx="24">
                  <c:v>0.11399999999999999</c:v>
                </c:pt>
                <c:pt idx="25">
                  <c:v>0.11499999999999999</c:v>
                </c:pt>
                <c:pt idx="26">
                  <c:v>0.11599999999999999</c:v>
                </c:pt>
                <c:pt idx="27">
                  <c:v>0.11699999999999999</c:v>
                </c:pt>
                <c:pt idx="28">
                  <c:v>0.11799999999999999</c:v>
                </c:pt>
                <c:pt idx="29">
                  <c:v>0.11899999999999999</c:v>
                </c:pt>
                <c:pt idx="30">
                  <c:v>0.12</c:v>
                </c:pt>
                <c:pt idx="31">
                  <c:v>0.121</c:v>
                </c:pt>
                <c:pt idx="32">
                  <c:v>0.122</c:v>
                </c:pt>
                <c:pt idx="33">
                  <c:v>0.123</c:v>
                </c:pt>
                <c:pt idx="34">
                  <c:v>0.124</c:v>
                </c:pt>
                <c:pt idx="35">
                  <c:v>0.125</c:v>
                </c:pt>
                <c:pt idx="36">
                  <c:v>0.126</c:v>
                </c:pt>
                <c:pt idx="37">
                  <c:v>0.127</c:v>
                </c:pt>
                <c:pt idx="38">
                  <c:v>0.128</c:v>
                </c:pt>
                <c:pt idx="39">
                  <c:v>0.129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0.15000000000000002</c:v>
                </c:pt>
                <c:pt idx="43">
                  <c:v>0.16000000000000003</c:v>
                </c:pt>
                <c:pt idx="44">
                  <c:v>0.17000000000000004</c:v>
                </c:pt>
                <c:pt idx="45">
                  <c:v>0.18000000000000005</c:v>
                </c:pt>
                <c:pt idx="46">
                  <c:v>0.19000000000000006</c:v>
                </c:pt>
                <c:pt idx="47">
                  <c:v>0.20000000000000007</c:v>
                </c:pt>
                <c:pt idx="48">
                  <c:v>0.21000000000000008</c:v>
                </c:pt>
                <c:pt idx="49">
                  <c:v>0.21100000000000008</c:v>
                </c:pt>
                <c:pt idx="50">
                  <c:v>0.21200000000000008</c:v>
                </c:pt>
                <c:pt idx="51">
                  <c:v>0.21300000000000008</c:v>
                </c:pt>
                <c:pt idx="52">
                  <c:v>0.21400000000000008</c:v>
                </c:pt>
                <c:pt idx="53">
                  <c:v>0.21500000000000008</c:v>
                </c:pt>
                <c:pt idx="54">
                  <c:v>0.21600000000000008</c:v>
                </c:pt>
                <c:pt idx="55">
                  <c:v>0.21700000000000008</c:v>
                </c:pt>
                <c:pt idx="56">
                  <c:v>0.21800000000000008</c:v>
                </c:pt>
                <c:pt idx="57">
                  <c:v>0.21900000000000008</c:v>
                </c:pt>
                <c:pt idx="58">
                  <c:v>0.22000000000000008</c:v>
                </c:pt>
                <c:pt idx="59">
                  <c:v>0.22100000000000009</c:v>
                </c:pt>
                <c:pt idx="60">
                  <c:v>0.22200000000000009</c:v>
                </c:pt>
                <c:pt idx="61">
                  <c:v>0.22300000000000009</c:v>
                </c:pt>
                <c:pt idx="62">
                  <c:v>0.22400000000000009</c:v>
                </c:pt>
                <c:pt idx="63">
                  <c:v>0.22500000000000009</c:v>
                </c:pt>
                <c:pt idx="64">
                  <c:v>0.22600000000000009</c:v>
                </c:pt>
                <c:pt idx="65">
                  <c:v>0.22700000000000009</c:v>
                </c:pt>
                <c:pt idx="66">
                  <c:v>0.22800000000000009</c:v>
                </c:pt>
                <c:pt idx="67">
                  <c:v>0.22900000000000009</c:v>
                </c:pt>
                <c:pt idx="68">
                  <c:v>0.23000000000000009</c:v>
                </c:pt>
                <c:pt idx="69">
                  <c:v>0.2400000000000001</c:v>
                </c:pt>
                <c:pt idx="70">
                  <c:v>0.25000000000000011</c:v>
                </c:pt>
                <c:pt idx="71">
                  <c:v>0.26000000000000012</c:v>
                </c:pt>
                <c:pt idx="72">
                  <c:v>0.27000000000000013</c:v>
                </c:pt>
                <c:pt idx="73">
                  <c:v>0.28000000000000014</c:v>
                </c:pt>
                <c:pt idx="74">
                  <c:v>0.29000000000000015</c:v>
                </c:pt>
                <c:pt idx="75">
                  <c:v>0.30000000000000016</c:v>
                </c:pt>
                <c:pt idx="76">
                  <c:v>0.30100000000000016</c:v>
                </c:pt>
                <c:pt idx="77">
                  <c:v>0.30200000000000016</c:v>
                </c:pt>
                <c:pt idx="78">
                  <c:v>0.30300000000000016</c:v>
                </c:pt>
                <c:pt idx="79">
                  <c:v>0.30400000000000016</c:v>
                </c:pt>
                <c:pt idx="80">
                  <c:v>0.30500000000000016</c:v>
                </c:pt>
                <c:pt idx="81">
                  <c:v>0.30600000000000016</c:v>
                </c:pt>
                <c:pt idx="82">
                  <c:v>0.30700000000000016</c:v>
                </c:pt>
                <c:pt idx="83">
                  <c:v>0.30800000000000016</c:v>
                </c:pt>
                <c:pt idx="84">
                  <c:v>0.30900000000000016</c:v>
                </c:pt>
                <c:pt idx="85">
                  <c:v>0.31000000000000016</c:v>
                </c:pt>
                <c:pt idx="86">
                  <c:v>0.31100000000000017</c:v>
                </c:pt>
                <c:pt idx="87">
                  <c:v>0.31200000000000017</c:v>
                </c:pt>
                <c:pt idx="88">
                  <c:v>0.31300000000000017</c:v>
                </c:pt>
                <c:pt idx="89">
                  <c:v>0.31400000000000017</c:v>
                </c:pt>
                <c:pt idx="90">
                  <c:v>0.31500000000000017</c:v>
                </c:pt>
                <c:pt idx="91">
                  <c:v>0.31600000000000017</c:v>
                </c:pt>
                <c:pt idx="92">
                  <c:v>0.31700000000000017</c:v>
                </c:pt>
                <c:pt idx="93">
                  <c:v>0.31800000000000017</c:v>
                </c:pt>
                <c:pt idx="94">
                  <c:v>0.31900000000000017</c:v>
                </c:pt>
                <c:pt idx="95">
                  <c:v>0.32000000000000017</c:v>
                </c:pt>
                <c:pt idx="96">
                  <c:v>0.32100000000000017</c:v>
                </c:pt>
                <c:pt idx="97">
                  <c:v>0.32200000000000017</c:v>
                </c:pt>
                <c:pt idx="98">
                  <c:v>0.32300000000000018</c:v>
                </c:pt>
                <c:pt idx="99">
                  <c:v>0.32400000000000018</c:v>
                </c:pt>
                <c:pt idx="100">
                  <c:v>0.32500000000000018</c:v>
                </c:pt>
                <c:pt idx="101">
                  <c:v>0.32600000000000018</c:v>
                </c:pt>
                <c:pt idx="102">
                  <c:v>0.32700000000000018</c:v>
                </c:pt>
                <c:pt idx="103">
                  <c:v>0.32800000000000018</c:v>
                </c:pt>
                <c:pt idx="104">
                  <c:v>0.32900000000000018</c:v>
                </c:pt>
                <c:pt idx="105">
                  <c:v>0.33000000000000018</c:v>
                </c:pt>
                <c:pt idx="106">
                  <c:v>0.34000000000000019</c:v>
                </c:pt>
                <c:pt idx="107">
                  <c:v>0.34100000000000019</c:v>
                </c:pt>
                <c:pt idx="108">
                  <c:v>0.34200000000000019</c:v>
                </c:pt>
                <c:pt idx="109">
                  <c:v>0.34300000000000019</c:v>
                </c:pt>
                <c:pt idx="110">
                  <c:v>0.34400000000000019</c:v>
                </c:pt>
                <c:pt idx="111">
                  <c:v>0.3450000000000002</c:v>
                </c:pt>
                <c:pt idx="112">
                  <c:v>0.3460000000000002</c:v>
                </c:pt>
                <c:pt idx="113">
                  <c:v>0.3470000000000002</c:v>
                </c:pt>
                <c:pt idx="114">
                  <c:v>0.3480000000000002</c:v>
                </c:pt>
                <c:pt idx="115">
                  <c:v>0.3490000000000002</c:v>
                </c:pt>
                <c:pt idx="116">
                  <c:v>0.3500000000000002</c:v>
                </c:pt>
                <c:pt idx="117">
                  <c:v>0.3510000000000002</c:v>
                </c:pt>
                <c:pt idx="118">
                  <c:v>0.3520000000000002</c:v>
                </c:pt>
                <c:pt idx="119">
                  <c:v>0.3530000000000002</c:v>
                </c:pt>
                <c:pt idx="120">
                  <c:v>0.3540000000000002</c:v>
                </c:pt>
                <c:pt idx="121">
                  <c:v>0.3550000000000002</c:v>
                </c:pt>
                <c:pt idx="122">
                  <c:v>0.35600000000000021</c:v>
                </c:pt>
                <c:pt idx="123">
                  <c:v>0.35700000000000021</c:v>
                </c:pt>
                <c:pt idx="124">
                  <c:v>0.35800000000000021</c:v>
                </c:pt>
                <c:pt idx="125">
                  <c:v>0.35900000000000021</c:v>
                </c:pt>
                <c:pt idx="126">
                  <c:v>0.36000000000000021</c:v>
                </c:pt>
                <c:pt idx="127">
                  <c:v>0.37000000000000022</c:v>
                </c:pt>
                <c:pt idx="128">
                  <c:v>0.38000000000000023</c:v>
                </c:pt>
                <c:pt idx="129">
                  <c:v>0.39000000000000024</c:v>
                </c:pt>
                <c:pt idx="130">
                  <c:v>0.40000000000000024</c:v>
                </c:pt>
                <c:pt idx="131">
                  <c:v>0.41000000000000025</c:v>
                </c:pt>
                <c:pt idx="132">
                  <c:v>0.42000000000000026</c:v>
                </c:pt>
                <c:pt idx="133">
                  <c:v>0.43000000000000027</c:v>
                </c:pt>
                <c:pt idx="134">
                  <c:v>0.44000000000000028</c:v>
                </c:pt>
                <c:pt idx="135">
                  <c:v>0.45000000000000029</c:v>
                </c:pt>
                <c:pt idx="136">
                  <c:v>0.4600000000000003</c:v>
                </c:pt>
                <c:pt idx="137">
                  <c:v>0.47000000000000031</c:v>
                </c:pt>
                <c:pt idx="138">
                  <c:v>0.48000000000000032</c:v>
                </c:pt>
                <c:pt idx="139">
                  <c:v>0.49000000000000032</c:v>
                </c:pt>
                <c:pt idx="140">
                  <c:v>0.50000000000000033</c:v>
                </c:pt>
                <c:pt idx="141">
                  <c:v>0.51000000000000034</c:v>
                </c:pt>
                <c:pt idx="142">
                  <c:v>0.52000000000000035</c:v>
                </c:pt>
                <c:pt idx="143">
                  <c:v>0.53000000000000036</c:v>
                </c:pt>
                <c:pt idx="144">
                  <c:v>0.54000000000000037</c:v>
                </c:pt>
                <c:pt idx="145">
                  <c:v>0.55000000000000038</c:v>
                </c:pt>
                <c:pt idx="146">
                  <c:v>0.56000000000000039</c:v>
                </c:pt>
                <c:pt idx="147">
                  <c:v>0.5700000000000004</c:v>
                </c:pt>
                <c:pt idx="148">
                  <c:v>0.5800000000000004</c:v>
                </c:pt>
                <c:pt idx="149">
                  <c:v>0.59000000000000041</c:v>
                </c:pt>
                <c:pt idx="150">
                  <c:v>0.60000000000000042</c:v>
                </c:pt>
                <c:pt idx="151">
                  <c:v>0.60100000000000042</c:v>
                </c:pt>
                <c:pt idx="152">
                  <c:v>0.60200000000000042</c:v>
                </c:pt>
                <c:pt idx="153">
                  <c:v>0.60300000000000042</c:v>
                </c:pt>
                <c:pt idx="154">
                  <c:v>0.60400000000000043</c:v>
                </c:pt>
                <c:pt idx="155">
                  <c:v>0.60500000000000043</c:v>
                </c:pt>
                <c:pt idx="156">
                  <c:v>0.60600000000000043</c:v>
                </c:pt>
                <c:pt idx="157">
                  <c:v>0.60700000000000043</c:v>
                </c:pt>
                <c:pt idx="158">
                  <c:v>0.60800000000000043</c:v>
                </c:pt>
                <c:pt idx="159">
                  <c:v>0.60900000000000043</c:v>
                </c:pt>
                <c:pt idx="160">
                  <c:v>0.61000000000000043</c:v>
                </c:pt>
                <c:pt idx="161">
                  <c:v>0.61100000000000043</c:v>
                </c:pt>
                <c:pt idx="162">
                  <c:v>0.61200000000000043</c:v>
                </c:pt>
                <c:pt idx="163">
                  <c:v>0.61300000000000043</c:v>
                </c:pt>
                <c:pt idx="164">
                  <c:v>0.61400000000000043</c:v>
                </c:pt>
                <c:pt idx="165">
                  <c:v>0.61500000000000044</c:v>
                </c:pt>
                <c:pt idx="166">
                  <c:v>0.61600000000000044</c:v>
                </c:pt>
                <c:pt idx="167">
                  <c:v>0.61700000000000044</c:v>
                </c:pt>
                <c:pt idx="168">
                  <c:v>0.61800000000000044</c:v>
                </c:pt>
                <c:pt idx="169">
                  <c:v>0.61900000000000044</c:v>
                </c:pt>
                <c:pt idx="170">
                  <c:v>0.62000000000000044</c:v>
                </c:pt>
              </c:numCache>
            </c:numRef>
          </c:xVal>
          <c:yVal>
            <c:numRef>
              <c:f>'実験2-SFD図とBMD図の自動作成'!$D$59:$D$229</c:f>
              <c:numCache>
                <c:formatCode>General</c:formatCode>
                <c:ptCount val="171"/>
                <c:pt idx="0">
                  <c:v>0</c:v>
                </c:pt>
                <c:pt idx="1">
                  <c:v>-8.5354838709677441E-3</c:v>
                </c:pt>
                <c:pt idx="2">
                  <c:v>-1.7070967741935488E-2</c:v>
                </c:pt>
                <c:pt idx="3">
                  <c:v>-2.560645161290323E-2</c:v>
                </c:pt>
                <c:pt idx="4">
                  <c:v>-3.4141935483870976E-2</c:v>
                </c:pt>
                <c:pt idx="5">
                  <c:v>-4.2677419354838715E-2</c:v>
                </c:pt>
                <c:pt idx="6">
                  <c:v>-5.1212903225806461E-2</c:v>
                </c:pt>
                <c:pt idx="7">
                  <c:v>-5.9748387096774207E-2</c:v>
                </c:pt>
                <c:pt idx="8">
                  <c:v>-6.8283870967741953E-2</c:v>
                </c:pt>
                <c:pt idx="9">
                  <c:v>-7.6819354838709705E-2</c:v>
                </c:pt>
                <c:pt idx="10">
                  <c:v>-8.5354838709677444E-2</c:v>
                </c:pt>
                <c:pt idx="11">
                  <c:v>-0.17070967741935489</c:v>
                </c:pt>
                <c:pt idx="12">
                  <c:v>-0.25606451612903236</c:v>
                </c:pt>
                <c:pt idx="13">
                  <c:v>-0.34141935483870978</c:v>
                </c:pt>
                <c:pt idx="14">
                  <c:v>-0.42677419354838725</c:v>
                </c:pt>
                <c:pt idx="15">
                  <c:v>-0.51212903225806472</c:v>
                </c:pt>
                <c:pt idx="16">
                  <c:v>-0.59748387096774214</c:v>
                </c:pt>
                <c:pt idx="17">
                  <c:v>-0.68283870967741944</c:v>
                </c:pt>
                <c:pt idx="18">
                  <c:v>-0.76819354838709686</c:v>
                </c:pt>
                <c:pt idx="19">
                  <c:v>-0.85354838709677427</c:v>
                </c:pt>
                <c:pt idx="20">
                  <c:v>-0.93890322580645169</c:v>
                </c:pt>
                <c:pt idx="21">
                  <c:v>-0.94743870967741939</c:v>
                </c:pt>
                <c:pt idx="22">
                  <c:v>-0.9559741935483872</c:v>
                </c:pt>
                <c:pt idx="23">
                  <c:v>-0.96450967741935489</c:v>
                </c:pt>
                <c:pt idx="24">
                  <c:v>-0.9730451612903227</c:v>
                </c:pt>
                <c:pt idx="25">
                  <c:v>-0.9815806451612904</c:v>
                </c:pt>
                <c:pt idx="26">
                  <c:v>-0.99011612903225821</c:v>
                </c:pt>
                <c:pt idx="27">
                  <c:v>-0.9986516129032259</c:v>
                </c:pt>
                <c:pt idx="28">
                  <c:v>-1.0071870967741936</c:v>
                </c:pt>
                <c:pt idx="29">
                  <c:v>-1.0157225806451615</c:v>
                </c:pt>
                <c:pt idx="30">
                  <c:v>-1.0242580645161292</c:v>
                </c:pt>
                <c:pt idx="31">
                  <c:v>-1.0327935483870969</c:v>
                </c:pt>
                <c:pt idx="32">
                  <c:v>-1.0413290322580646</c:v>
                </c:pt>
                <c:pt idx="33">
                  <c:v>-1.0498645161290325</c:v>
                </c:pt>
                <c:pt idx="34">
                  <c:v>-1.0584000000000002</c:v>
                </c:pt>
                <c:pt idx="35">
                  <c:v>-1.0669354838709679</c:v>
                </c:pt>
                <c:pt idx="36">
                  <c:v>-1.0754709677419356</c:v>
                </c:pt>
                <c:pt idx="37">
                  <c:v>-1.0840064516129033</c:v>
                </c:pt>
                <c:pt idx="38">
                  <c:v>-1.0925419354838712</c:v>
                </c:pt>
                <c:pt idx="39">
                  <c:v>-1.1010774193548389</c:v>
                </c:pt>
                <c:pt idx="40">
                  <c:v>-1.1096129032258066</c:v>
                </c:pt>
                <c:pt idx="41">
                  <c:v>-1.1949677419354843</c:v>
                </c:pt>
                <c:pt idx="42">
                  <c:v>-1.2803225806451617</c:v>
                </c:pt>
                <c:pt idx="43">
                  <c:v>-1.3656774193548391</c:v>
                </c:pt>
                <c:pt idx="44">
                  <c:v>-1.4510322580645167</c:v>
                </c:pt>
                <c:pt idx="45">
                  <c:v>-1.5363870967741942</c:v>
                </c:pt>
                <c:pt idx="46">
                  <c:v>-1.6217419354838718</c:v>
                </c:pt>
                <c:pt idx="47">
                  <c:v>-1.7070967741935492</c:v>
                </c:pt>
                <c:pt idx="48">
                  <c:v>-1.7924516129032269</c:v>
                </c:pt>
                <c:pt idx="49">
                  <c:v>-1.8009870967741946</c:v>
                </c:pt>
                <c:pt idx="50">
                  <c:v>-1.8095225806451622</c:v>
                </c:pt>
                <c:pt idx="51">
                  <c:v>-1.8180580645161299</c:v>
                </c:pt>
                <c:pt idx="52">
                  <c:v>-1.8265935483870979</c:v>
                </c:pt>
                <c:pt idx="53">
                  <c:v>-1.8351290322580656</c:v>
                </c:pt>
                <c:pt idx="54">
                  <c:v>-1.8436645161290333</c:v>
                </c:pt>
                <c:pt idx="55">
                  <c:v>-1.852200000000001</c:v>
                </c:pt>
                <c:pt idx="56">
                  <c:v>-1.8607354838709689</c:v>
                </c:pt>
                <c:pt idx="57">
                  <c:v>-1.8692709677419366</c:v>
                </c:pt>
                <c:pt idx="58">
                  <c:v>-1.8778064516129043</c:v>
                </c:pt>
                <c:pt idx="59">
                  <c:v>-1.886341935483872</c:v>
                </c:pt>
                <c:pt idx="60">
                  <c:v>-1.8948774193548397</c:v>
                </c:pt>
                <c:pt idx="61">
                  <c:v>-1.9034129032258076</c:v>
                </c:pt>
                <c:pt idx="62">
                  <c:v>-1.9119483870967753</c:v>
                </c:pt>
                <c:pt idx="63">
                  <c:v>-1.920483870967743</c:v>
                </c:pt>
                <c:pt idx="64">
                  <c:v>-1.9290193548387107</c:v>
                </c:pt>
                <c:pt idx="65">
                  <c:v>-1.9375548387096786</c:v>
                </c:pt>
                <c:pt idx="66">
                  <c:v>-1.9460903225806463</c:v>
                </c:pt>
                <c:pt idx="67">
                  <c:v>-1.954625806451614</c:v>
                </c:pt>
                <c:pt idx="68">
                  <c:v>-1.9631612903225817</c:v>
                </c:pt>
                <c:pt idx="69">
                  <c:v>-2.0485161290322593</c:v>
                </c:pt>
                <c:pt idx="70">
                  <c:v>-2.1338709677419367</c:v>
                </c:pt>
                <c:pt idx="71">
                  <c:v>-2.2192258064516142</c:v>
                </c:pt>
                <c:pt idx="72">
                  <c:v>-2.304580645161292</c:v>
                </c:pt>
                <c:pt idx="73">
                  <c:v>-2.3899354838709694</c:v>
                </c:pt>
                <c:pt idx="74">
                  <c:v>-2.4752903225806469</c:v>
                </c:pt>
                <c:pt idx="75">
                  <c:v>-2.5606451612903243</c:v>
                </c:pt>
                <c:pt idx="76">
                  <c:v>-2.5691806451612922</c:v>
                </c:pt>
                <c:pt idx="77">
                  <c:v>-2.5777161290322597</c:v>
                </c:pt>
                <c:pt idx="78">
                  <c:v>-2.5862516129032276</c:v>
                </c:pt>
                <c:pt idx="79">
                  <c:v>-2.5947870967741955</c:v>
                </c:pt>
                <c:pt idx="80">
                  <c:v>-2.603322580645163</c:v>
                </c:pt>
                <c:pt idx="81">
                  <c:v>-2.6118580645161309</c:v>
                </c:pt>
                <c:pt idx="82">
                  <c:v>-2.6203935483870988</c:v>
                </c:pt>
                <c:pt idx="83">
                  <c:v>-2.6289290322580663</c:v>
                </c:pt>
                <c:pt idx="84">
                  <c:v>-2.6374645161290342</c:v>
                </c:pt>
                <c:pt idx="85">
                  <c:v>-2.6460000000000017</c:v>
                </c:pt>
                <c:pt idx="86">
                  <c:v>-2.6545354838709696</c:v>
                </c:pt>
                <c:pt idx="87">
                  <c:v>-2.6630709677419375</c:v>
                </c:pt>
                <c:pt idx="88">
                  <c:v>-2.671606451612905</c:v>
                </c:pt>
                <c:pt idx="89">
                  <c:v>-2.6801419354838729</c:v>
                </c:pt>
                <c:pt idx="90">
                  <c:v>-2.6886774193548408</c:v>
                </c:pt>
                <c:pt idx="91">
                  <c:v>-2.6972129032258083</c:v>
                </c:pt>
                <c:pt idx="92">
                  <c:v>-2.7057483870967762</c:v>
                </c:pt>
                <c:pt idx="93">
                  <c:v>-2.7142838709677437</c:v>
                </c:pt>
                <c:pt idx="94">
                  <c:v>-2.7228193548387116</c:v>
                </c:pt>
                <c:pt idx="95">
                  <c:v>-2.7313548387096795</c:v>
                </c:pt>
                <c:pt idx="96">
                  <c:v>-2.739890322580647</c:v>
                </c:pt>
                <c:pt idx="97">
                  <c:v>-2.7484258064516149</c:v>
                </c:pt>
                <c:pt idx="98">
                  <c:v>-2.7569612903225824</c:v>
                </c:pt>
                <c:pt idx="99">
                  <c:v>-2.7654967741935503</c:v>
                </c:pt>
                <c:pt idx="100">
                  <c:v>-2.7740322580645183</c:v>
                </c:pt>
                <c:pt idx="101">
                  <c:v>-2.7825677419354857</c:v>
                </c:pt>
                <c:pt idx="102">
                  <c:v>-2.7911032258064536</c:v>
                </c:pt>
                <c:pt idx="103">
                  <c:v>-2.7996387096774216</c:v>
                </c:pt>
                <c:pt idx="104">
                  <c:v>-2.808174193548389</c:v>
                </c:pt>
                <c:pt idx="105">
                  <c:v>-2.816709677419357</c:v>
                </c:pt>
                <c:pt idx="106">
                  <c:v>-2.9020645161290344</c:v>
                </c:pt>
                <c:pt idx="107">
                  <c:v>-2.9106000000000023</c:v>
                </c:pt>
                <c:pt idx="108">
                  <c:v>-2.9191354838709698</c:v>
                </c:pt>
                <c:pt idx="109">
                  <c:v>-2.9276709677419377</c:v>
                </c:pt>
                <c:pt idx="110">
                  <c:v>-2.9362064516129056</c:v>
                </c:pt>
                <c:pt idx="111">
                  <c:v>-2.9447419354838731</c:v>
                </c:pt>
                <c:pt idx="112">
                  <c:v>-2.953277419354841</c:v>
                </c:pt>
                <c:pt idx="113">
                  <c:v>-2.9618129032258085</c:v>
                </c:pt>
                <c:pt idx="114">
                  <c:v>-2.9703483870967764</c:v>
                </c:pt>
                <c:pt idx="115">
                  <c:v>-2.9788838709677443</c:v>
                </c:pt>
                <c:pt idx="116">
                  <c:v>-2.9874193548387074</c:v>
                </c:pt>
                <c:pt idx="117">
                  <c:v>-2.9763548387096752</c:v>
                </c:pt>
                <c:pt idx="118">
                  <c:v>-2.9652903225806431</c:v>
                </c:pt>
                <c:pt idx="119">
                  <c:v>-2.9542258064516109</c:v>
                </c:pt>
                <c:pt idx="120">
                  <c:v>-2.9431612903225783</c:v>
                </c:pt>
                <c:pt idx="121">
                  <c:v>-2.9320967741935462</c:v>
                </c:pt>
                <c:pt idx="122">
                  <c:v>-2.9210322580645141</c:v>
                </c:pt>
                <c:pt idx="123">
                  <c:v>-2.9099677419354815</c:v>
                </c:pt>
                <c:pt idx="124">
                  <c:v>-2.8989032258064493</c:v>
                </c:pt>
                <c:pt idx="125">
                  <c:v>-2.8878387096774172</c:v>
                </c:pt>
                <c:pt idx="126">
                  <c:v>-2.876774193548385</c:v>
                </c:pt>
                <c:pt idx="127">
                  <c:v>-2.7661290322580623</c:v>
                </c:pt>
                <c:pt idx="128">
                  <c:v>-2.6554838709677395</c:v>
                </c:pt>
                <c:pt idx="129">
                  <c:v>-2.5448387096774168</c:v>
                </c:pt>
                <c:pt idx="130">
                  <c:v>-2.434193548387094</c:v>
                </c:pt>
                <c:pt idx="131">
                  <c:v>-2.3235483870967717</c:v>
                </c:pt>
                <c:pt idx="132">
                  <c:v>-2.2129032258064489</c:v>
                </c:pt>
                <c:pt idx="133">
                  <c:v>-2.1022580645161262</c:v>
                </c:pt>
                <c:pt idx="134">
                  <c:v>-1.9916129032258034</c:v>
                </c:pt>
                <c:pt idx="135">
                  <c:v>-1.8809677419354807</c:v>
                </c:pt>
                <c:pt idx="136">
                  <c:v>-1.7703225806451581</c:v>
                </c:pt>
                <c:pt idx="137">
                  <c:v>-1.6596774193548354</c:v>
                </c:pt>
                <c:pt idx="138">
                  <c:v>-1.5490322580645128</c:v>
                </c:pt>
                <c:pt idx="139">
                  <c:v>-1.4383870967741901</c:v>
                </c:pt>
                <c:pt idx="140">
                  <c:v>-1.3277419354838673</c:v>
                </c:pt>
                <c:pt idx="141">
                  <c:v>-1.2170967741935448</c:v>
                </c:pt>
                <c:pt idx="142">
                  <c:v>-1.106451612903222</c:v>
                </c:pt>
                <c:pt idx="143">
                  <c:v>-0.99580645161289938</c:v>
                </c:pt>
                <c:pt idx="144">
                  <c:v>-0.88516129032257662</c:v>
                </c:pt>
                <c:pt idx="145">
                  <c:v>-0.77451612903225397</c:v>
                </c:pt>
                <c:pt idx="146">
                  <c:v>-0.66387096774193133</c:v>
                </c:pt>
                <c:pt idx="147">
                  <c:v>-0.55322580645160857</c:v>
                </c:pt>
                <c:pt idx="148">
                  <c:v>-0.44258064516128592</c:v>
                </c:pt>
                <c:pt idx="149">
                  <c:v>-0.33193548387096328</c:v>
                </c:pt>
                <c:pt idx="150">
                  <c:v>-0.2212903225806406</c:v>
                </c:pt>
                <c:pt idx="151">
                  <c:v>-0.21022580645160832</c:v>
                </c:pt>
                <c:pt idx="152">
                  <c:v>-0.19916129032257607</c:v>
                </c:pt>
                <c:pt idx="153">
                  <c:v>-0.18809677419354379</c:v>
                </c:pt>
                <c:pt idx="154">
                  <c:v>-0.17703225806451151</c:v>
                </c:pt>
                <c:pt idx="155">
                  <c:v>-0.16596774193547925</c:v>
                </c:pt>
                <c:pt idx="156">
                  <c:v>-0.15490322580644697</c:v>
                </c:pt>
                <c:pt idx="157">
                  <c:v>-0.14383870967741472</c:v>
                </c:pt>
                <c:pt idx="158">
                  <c:v>-0.13277419354838244</c:v>
                </c:pt>
                <c:pt idx="159">
                  <c:v>-0.12170967741935018</c:v>
                </c:pt>
                <c:pt idx="160">
                  <c:v>-0.11064516129031791</c:v>
                </c:pt>
                <c:pt idx="161">
                  <c:v>-9.9580645161285647E-2</c:v>
                </c:pt>
                <c:pt idx="162">
                  <c:v>-8.8516129032253379E-2</c:v>
                </c:pt>
                <c:pt idx="163">
                  <c:v>-7.7451612903221112E-2</c:v>
                </c:pt>
                <c:pt idx="164">
                  <c:v>-6.6387096774188845E-2</c:v>
                </c:pt>
                <c:pt idx="165">
                  <c:v>-5.532258064515657E-2</c:v>
                </c:pt>
                <c:pt idx="166">
                  <c:v>-4.4258064516124303E-2</c:v>
                </c:pt>
                <c:pt idx="167">
                  <c:v>-3.3193548387092035E-2</c:v>
                </c:pt>
                <c:pt idx="168">
                  <c:v>-2.2129032258059768E-2</c:v>
                </c:pt>
                <c:pt idx="169">
                  <c:v>-1.10645161290275E-2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F-4F48-B55E-CC08F4762EA4}"/>
            </c:ext>
          </c:extLst>
        </c:ser>
        <c:ser>
          <c:idx val="2"/>
          <c:order val="1"/>
          <c:tx>
            <c:strRef>
              <c:f>'実験2-SFD図とBMD図の自動作成'!$H$58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'実験2-SFD図とBMD図の自動作成'!$G$59:$G$229</c:f>
              <c:numCache>
                <c:formatCode>General</c:formatCode>
                <c:ptCount val="17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2.0000000000000004E-2</c:v>
                </c:pt>
                <c:pt idx="12">
                  <c:v>3.0000000000000006E-2</c:v>
                </c:pt>
                <c:pt idx="13">
                  <c:v>4.0000000000000008E-2</c:v>
                </c:pt>
                <c:pt idx="14">
                  <c:v>5.000000000000001E-2</c:v>
                </c:pt>
                <c:pt idx="15">
                  <c:v>6.0000000000000012E-2</c:v>
                </c:pt>
                <c:pt idx="16">
                  <c:v>7.0000000000000007E-2</c:v>
                </c:pt>
                <c:pt idx="17">
                  <c:v>0.08</c:v>
                </c:pt>
                <c:pt idx="18">
                  <c:v>0.09</c:v>
                </c:pt>
                <c:pt idx="19">
                  <c:v>9.9999999999999992E-2</c:v>
                </c:pt>
                <c:pt idx="20">
                  <c:v>0.10999999999999999</c:v>
                </c:pt>
                <c:pt idx="21">
                  <c:v>0.11099999999999999</c:v>
                </c:pt>
                <c:pt idx="22">
                  <c:v>0.11199999999999999</c:v>
                </c:pt>
                <c:pt idx="23">
                  <c:v>0.11299999999999999</c:v>
                </c:pt>
                <c:pt idx="24">
                  <c:v>0.11399999999999999</c:v>
                </c:pt>
                <c:pt idx="25">
                  <c:v>0.11499999999999999</c:v>
                </c:pt>
                <c:pt idx="26">
                  <c:v>0.11599999999999999</c:v>
                </c:pt>
                <c:pt idx="27">
                  <c:v>0.11699999999999999</c:v>
                </c:pt>
                <c:pt idx="28">
                  <c:v>0.11799999999999999</c:v>
                </c:pt>
                <c:pt idx="29">
                  <c:v>0.11899999999999999</c:v>
                </c:pt>
                <c:pt idx="30">
                  <c:v>0.12</c:v>
                </c:pt>
                <c:pt idx="31">
                  <c:v>0.121</c:v>
                </c:pt>
                <c:pt idx="32">
                  <c:v>0.122</c:v>
                </c:pt>
                <c:pt idx="33">
                  <c:v>0.123</c:v>
                </c:pt>
                <c:pt idx="34">
                  <c:v>0.124</c:v>
                </c:pt>
                <c:pt idx="35">
                  <c:v>0.125</c:v>
                </c:pt>
                <c:pt idx="36">
                  <c:v>0.126</c:v>
                </c:pt>
                <c:pt idx="37">
                  <c:v>0.127</c:v>
                </c:pt>
                <c:pt idx="38">
                  <c:v>0.128</c:v>
                </c:pt>
                <c:pt idx="39">
                  <c:v>0.129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0.15000000000000002</c:v>
                </c:pt>
                <c:pt idx="43">
                  <c:v>0.16000000000000003</c:v>
                </c:pt>
                <c:pt idx="44">
                  <c:v>0.17000000000000004</c:v>
                </c:pt>
                <c:pt idx="45">
                  <c:v>0.18000000000000005</c:v>
                </c:pt>
                <c:pt idx="46">
                  <c:v>0.19000000000000006</c:v>
                </c:pt>
                <c:pt idx="47">
                  <c:v>0.20000000000000007</c:v>
                </c:pt>
                <c:pt idx="48">
                  <c:v>0.21000000000000008</c:v>
                </c:pt>
                <c:pt idx="49">
                  <c:v>0.21100000000000008</c:v>
                </c:pt>
                <c:pt idx="50">
                  <c:v>0.21200000000000008</c:v>
                </c:pt>
                <c:pt idx="51">
                  <c:v>0.21300000000000008</c:v>
                </c:pt>
                <c:pt idx="52">
                  <c:v>0.21400000000000008</c:v>
                </c:pt>
                <c:pt idx="53">
                  <c:v>0.21500000000000008</c:v>
                </c:pt>
                <c:pt idx="54">
                  <c:v>0.21600000000000008</c:v>
                </c:pt>
                <c:pt idx="55">
                  <c:v>0.21700000000000008</c:v>
                </c:pt>
                <c:pt idx="56">
                  <c:v>0.21800000000000008</c:v>
                </c:pt>
                <c:pt idx="57">
                  <c:v>0.21900000000000008</c:v>
                </c:pt>
                <c:pt idx="58">
                  <c:v>0.22000000000000008</c:v>
                </c:pt>
                <c:pt idx="59">
                  <c:v>0.22100000000000009</c:v>
                </c:pt>
                <c:pt idx="60">
                  <c:v>0.22200000000000009</c:v>
                </c:pt>
                <c:pt idx="61">
                  <c:v>0.22300000000000009</c:v>
                </c:pt>
                <c:pt idx="62">
                  <c:v>0.22400000000000009</c:v>
                </c:pt>
                <c:pt idx="63">
                  <c:v>0.22500000000000009</c:v>
                </c:pt>
                <c:pt idx="64">
                  <c:v>0.22600000000000009</c:v>
                </c:pt>
                <c:pt idx="65">
                  <c:v>0.22700000000000009</c:v>
                </c:pt>
                <c:pt idx="66">
                  <c:v>0.22800000000000009</c:v>
                </c:pt>
                <c:pt idx="67">
                  <c:v>0.22900000000000009</c:v>
                </c:pt>
                <c:pt idx="68">
                  <c:v>0.23000000000000009</c:v>
                </c:pt>
                <c:pt idx="69">
                  <c:v>0.2400000000000001</c:v>
                </c:pt>
                <c:pt idx="70">
                  <c:v>0.25000000000000011</c:v>
                </c:pt>
                <c:pt idx="71">
                  <c:v>0.26000000000000012</c:v>
                </c:pt>
                <c:pt idx="72">
                  <c:v>0.27000000000000013</c:v>
                </c:pt>
                <c:pt idx="73">
                  <c:v>0.28000000000000014</c:v>
                </c:pt>
                <c:pt idx="74">
                  <c:v>0.29000000000000015</c:v>
                </c:pt>
                <c:pt idx="75">
                  <c:v>0.29100000000000015</c:v>
                </c:pt>
                <c:pt idx="76">
                  <c:v>0.29200000000000015</c:v>
                </c:pt>
                <c:pt idx="77">
                  <c:v>0.29300000000000015</c:v>
                </c:pt>
                <c:pt idx="78">
                  <c:v>0.29400000000000015</c:v>
                </c:pt>
                <c:pt idx="79">
                  <c:v>0.29500000000000015</c:v>
                </c:pt>
                <c:pt idx="80">
                  <c:v>0.29600000000000015</c:v>
                </c:pt>
                <c:pt idx="81">
                  <c:v>0.29700000000000015</c:v>
                </c:pt>
                <c:pt idx="82">
                  <c:v>0.29800000000000015</c:v>
                </c:pt>
                <c:pt idx="83">
                  <c:v>0.29900000000000015</c:v>
                </c:pt>
                <c:pt idx="84">
                  <c:v>0.30000000000000016</c:v>
                </c:pt>
                <c:pt idx="85">
                  <c:v>0.30100000000000016</c:v>
                </c:pt>
                <c:pt idx="86">
                  <c:v>0.30200000000000016</c:v>
                </c:pt>
                <c:pt idx="87">
                  <c:v>0.30300000000000016</c:v>
                </c:pt>
                <c:pt idx="88">
                  <c:v>0.30400000000000016</c:v>
                </c:pt>
                <c:pt idx="89">
                  <c:v>0.30500000000000016</c:v>
                </c:pt>
                <c:pt idx="90">
                  <c:v>0.30600000000000016</c:v>
                </c:pt>
                <c:pt idx="91">
                  <c:v>0.30700000000000016</c:v>
                </c:pt>
                <c:pt idx="92">
                  <c:v>0.30800000000000016</c:v>
                </c:pt>
                <c:pt idx="93">
                  <c:v>0.30900000000000016</c:v>
                </c:pt>
                <c:pt idx="94">
                  <c:v>0.31000000000000016</c:v>
                </c:pt>
                <c:pt idx="95">
                  <c:v>0.31100000000000017</c:v>
                </c:pt>
                <c:pt idx="96">
                  <c:v>0.31200000000000017</c:v>
                </c:pt>
                <c:pt idx="97">
                  <c:v>0.31300000000000017</c:v>
                </c:pt>
                <c:pt idx="98">
                  <c:v>0.31400000000000017</c:v>
                </c:pt>
                <c:pt idx="99">
                  <c:v>0.31500000000000017</c:v>
                </c:pt>
                <c:pt idx="100">
                  <c:v>0.31600000000000017</c:v>
                </c:pt>
                <c:pt idx="101">
                  <c:v>0.31700000000000017</c:v>
                </c:pt>
                <c:pt idx="102">
                  <c:v>0.31800000000000017</c:v>
                </c:pt>
                <c:pt idx="103">
                  <c:v>0.31900000000000017</c:v>
                </c:pt>
                <c:pt idx="104">
                  <c:v>0.32000000000000017</c:v>
                </c:pt>
                <c:pt idx="105">
                  <c:v>0.32100000000000017</c:v>
                </c:pt>
                <c:pt idx="106">
                  <c:v>0.32200000000000017</c:v>
                </c:pt>
                <c:pt idx="107">
                  <c:v>0.32300000000000018</c:v>
                </c:pt>
                <c:pt idx="108">
                  <c:v>0.32400000000000018</c:v>
                </c:pt>
                <c:pt idx="109">
                  <c:v>0.32500000000000018</c:v>
                </c:pt>
                <c:pt idx="110">
                  <c:v>0.32600000000000018</c:v>
                </c:pt>
                <c:pt idx="111">
                  <c:v>0.32700000000000018</c:v>
                </c:pt>
                <c:pt idx="112">
                  <c:v>0.32800000000000018</c:v>
                </c:pt>
                <c:pt idx="113">
                  <c:v>0.32900000000000018</c:v>
                </c:pt>
                <c:pt idx="114">
                  <c:v>0.33000000000000018</c:v>
                </c:pt>
                <c:pt idx="115">
                  <c:v>0.33100000000000018</c:v>
                </c:pt>
                <c:pt idx="116">
                  <c:v>0.33200000000000018</c:v>
                </c:pt>
                <c:pt idx="117">
                  <c:v>0.33300000000000018</c:v>
                </c:pt>
                <c:pt idx="118">
                  <c:v>0.33400000000000019</c:v>
                </c:pt>
                <c:pt idx="119">
                  <c:v>0.33500000000000019</c:v>
                </c:pt>
                <c:pt idx="120">
                  <c:v>0.33600000000000019</c:v>
                </c:pt>
                <c:pt idx="121">
                  <c:v>0.33700000000000019</c:v>
                </c:pt>
                <c:pt idx="122">
                  <c:v>0.33800000000000019</c:v>
                </c:pt>
                <c:pt idx="123">
                  <c:v>0.33900000000000019</c:v>
                </c:pt>
                <c:pt idx="124">
                  <c:v>0.34000000000000019</c:v>
                </c:pt>
                <c:pt idx="125">
                  <c:v>0.3500000000000002</c:v>
                </c:pt>
                <c:pt idx="126">
                  <c:v>0.36000000000000021</c:v>
                </c:pt>
                <c:pt idx="127">
                  <c:v>0.37000000000000022</c:v>
                </c:pt>
                <c:pt idx="128">
                  <c:v>0.38000000000000023</c:v>
                </c:pt>
                <c:pt idx="129">
                  <c:v>0.39000000000000024</c:v>
                </c:pt>
                <c:pt idx="130">
                  <c:v>0.40000000000000024</c:v>
                </c:pt>
                <c:pt idx="131">
                  <c:v>0.41000000000000025</c:v>
                </c:pt>
                <c:pt idx="132">
                  <c:v>0.42000000000000026</c:v>
                </c:pt>
                <c:pt idx="133">
                  <c:v>0.43000000000000027</c:v>
                </c:pt>
                <c:pt idx="134">
                  <c:v>0.44000000000000028</c:v>
                </c:pt>
                <c:pt idx="135">
                  <c:v>0.45000000000000029</c:v>
                </c:pt>
                <c:pt idx="136">
                  <c:v>0.4600000000000003</c:v>
                </c:pt>
                <c:pt idx="137">
                  <c:v>0.47000000000000031</c:v>
                </c:pt>
                <c:pt idx="138">
                  <c:v>0.48000000000000032</c:v>
                </c:pt>
                <c:pt idx="139">
                  <c:v>0.49000000000000032</c:v>
                </c:pt>
                <c:pt idx="140">
                  <c:v>0.50000000000000033</c:v>
                </c:pt>
                <c:pt idx="141">
                  <c:v>0.51000000000000034</c:v>
                </c:pt>
                <c:pt idx="142">
                  <c:v>0.52000000000000035</c:v>
                </c:pt>
                <c:pt idx="143">
                  <c:v>0.53000000000000036</c:v>
                </c:pt>
                <c:pt idx="144">
                  <c:v>0.54000000000000037</c:v>
                </c:pt>
                <c:pt idx="145">
                  <c:v>0.55000000000000038</c:v>
                </c:pt>
                <c:pt idx="146">
                  <c:v>0.56000000000000039</c:v>
                </c:pt>
                <c:pt idx="147">
                  <c:v>0.5700000000000004</c:v>
                </c:pt>
                <c:pt idx="148">
                  <c:v>0.5800000000000004</c:v>
                </c:pt>
                <c:pt idx="149">
                  <c:v>0.59000000000000041</c:v>
                </c:pt>
                <c:pt idx="150">
                  <c:v>0.60000000000000042</c:v>
                </c:pt>
                <c:pt idx="151">
                  <c:v>0.60100000000000042</c:v>
                </c:pt>
                <c:pt idx="152">
                  <c:v>0.60200000000000042</c:v>
                </c:pt>
                <c:pt idx="153">
                  <c:v>0.60300000000000042</c:v>
                </c:pt>
                <c:pt idx="154">
                  <c:v>0.60400000000000043</c:v>
                </c:pt>
                <c:pt idx="155">
                  <c:v>0.60500000000000043</c:v>
                </c:pt>
                <c:pt idx="156">
                  <c:v>0.60600000000000043</c:v>
                </c:pt>
                <c:pt idx="157">
                  <c:v>0.60700000000000043</c:v>
                </c:pt>
                <c:pt idx="158">
                  <c:v>0.60800000000000043</c:v>
                </c:pt>
                <c:pt idx="159">
                  <c:v>0.60900000000000043</c:v>
                </c:pt>
                <c:pt idx="160">
                  <c:v>0.61000000000000043</c:v>
                </c:pt>
                <c:pt idx="161">
                  <c:v>0.61100000000000043</c:v>
                </c:pt>
                <c:pt idx="162">
                  <c:v>0.61200000000000043</c:v>
                </c:pt>
                <c:pt idx="163">
                  <c:v>0.61300000000000043</c:v>
                </c:pt>
                <c:pt idx="164">
                  <c:v>0.61400000000000043</c:v>
                </c:pt>
                <c:pt idx="165">
                  <c:v>0.61500000000000044</c:v>
                </c:pt>
                <c:pt idx="166">
                  <c:v>0.61600000000000044</c:v>
                </c:pt>
                <c:pt idx="167">
                  <c:v>0.61700000000000044</c:v>
                </c:pt>
                <c:pt idx="168">
                  <c:v>0.61800000000000044</c:v>
                </c:pt>
                <c:pt idx="169">
                  <c:v>0.61900000000000044</c:v>
                </c:pt>
                <c:pt idx="170">
                  <c:v>0.62000000000000044</c:v>
                </c:pt>
              </c:numCache>
            </c:numRef>
          </c:xVal>
          <c:yVal>
            <c:numRef>
              <c:f>'実験2-SFD図とBMD図の自動作成'!$H$59:$H$229</c:f>
              <c:numCache>
                <c:formatCode>General</c:formatCode>
                <c:ptCount val="171"/>
                <c:pt idx="0">
                  <c:v>0</c:v>
                </c:pt>
                <c:pt idx="1">
                  <c:v>-9.167741935483871E-3</c:v>
                </c:pt>
                <c:pt idx="2">
                  <c:v>-1.8335483870967742E-2</c:v>
                </c:pt>
                <c:pt idx="3">
                  <c:v>-2.7503225806451613E-2</c:v>
                </c:pt>
                <c:pt idx="4">
                  <c:v>-3.6670967741935484E-2</c:v>
                </c:pt>
                <c:pt idx="5">
                  <c:v>-4.5838709677419355E-2</c:v>
                </c:pt>
                <c:pt idx="6">
                  <c:v>-5.5006451612903226E-2</c:v>
                </c:pt>
                <c:pt idx="7">
                  <c:v>-6.4174193548387104E-2</c:v>
                </c:pt>
                <c:pt idx="8">
                  <c:v>-7.3341935483870968E-2</c:v>
                </c:pt>
                <c:pt idx="9">
                  <c:v>-8.2509677419354846E-2</c:v>
                </c:pt>
                <c:pt idx="10">
                  <c:v>-9.1677419354838724E-2</c:v>
                </c:pt>
                <c:pt idx="11">
                  <c:v>-0.18335483870967745</c:v>
                </c:pt>
                <c:pt idx="12">
                  <c:v>-0.2750322580645162</c:v>
                </c:pt>
                <c:pt idx="13">
                  <c:v>-0.3667096774193549</c:v>
                </c:pt>
                <c:pt idx="14">
                  <c:v>-0.45838709677419365</c:v>
                </c:pt>
                <c:pt idx="15">
                  <c:v>-0.5500645161290324</c:v>
                </c:pt>
                <c:pt idx="16">
                  <c:v>-0.64174193548387104</c:v>
                </c:pt>
                <c:pt idx="17">
                  <c:v>-0.73341935483870968</c:v>
                </c:pt>
                <c:pt idx="18">
                  <c:v>-0.82509677419354832</c:v>
                </c:pt>
                <c:pt idx="19">
                  <c:v>-0.91677419354838707</c:v>
                </c:pt>
                <c:pt idx="20">
                  <c:v>-1.0084516129032257</c:v>
                </c:pt>
                <c:pt idx="21">
                  <c:v>-1.0176193548387096</c:v>
                </c:pt>
                <c:pt idx="22">
                  <c:v>-1.0267870967741934</c:v>
                </c:pt>
                <c:pt idx="23">
                  <c:v>-1.0359548387096773</c:v>
                </c:pt>
                <c:pt idx="24">
                  <c:v>-1.0451225806451612</c:v>
                </c:pt>
                <c:pt idx="25">
                  <c:v>-1.054290322580645</c:v>
                </c:pt>
                <c:pt idx="26">
                  <c:v>-1.0634580645161289</c:v>
                </c:pt>
                <c:pt idx="27">
                  <c:v>-1.0726258064516128</c:v>
                </c:pt>
                <c:pt idx="28">
                  <c:v>-1.0817935483870968</c:v>
                </c:pt>
                <c:pt idx="29">
                  <c:v>-1.0909612903225807</c:v>
                </c:pt>
                <c:pt idx="30">
                  <c:v>-1.1001290322580646</c:v>
                </c:pt>
                <c:pt idx="31">
                  <c:v>-1.1092967741935484</c:v>
                </c:pt>
                <c:pt idx="32">
                  <c:v>-1.1184645161290323</c:v>
                </c:pt>
                <c:pt idx="33">
                  <c:v>-1.1276322580645162</c:v>
                </c:pt>
                <c:pt idx="34">
                  <c:v>-1.1368</c:v>
                </c:pt>
                <c:pt idx="35">
                  <c:v>-1.1459677419354839</c:v>
                </c:pt>
                <c:pt idx="36">
                  <c:v>-1.1551354838709678</c:v>
                </c:pt>
                <c:pt idx="37">
                  <c:v>-1.1643032258064516</c:v>
                </c:pt>
                <c:pt idx="38">
                  <c:v>-1.1734709677419355</c:v>
                </c:pt>
                <c:pt idx="39">
                  <c:v>-1.1826387096774194</c:v>
                </c:pt>
                <c:pt idx="40">
                  <c:v>-1.1918064516129032</c:v>
                </c:pt>
                <c:pt idx="41">
                  <c:v>-1.2834838709677421</c:v>
                </c:pt>
                <c:pt idx="42">
                  <c:v>-1.3751612903225809</c:v>
                </c:pt>
                <c:pt idx="43">
                  <c:v>-1.4668387096774196</c:v>
                </c:pt>
                <c:pt idx="44">
                  <c:v>-1.5585161290322584</c:v>
                </c:pt>
                <c:pt idx="45">
                  <c:v>-1.6501935483870973</c:v>
                </c:pt>
                <c:pt idx="46">
                  <c:v>-1.7418709677419359</c:v>
                </c:pt>
                <c:pt idx="47">
                  <c:v>-1.8335483870967748</c:v>
                </c:pt>
                <c:pt idx="48">
                  <c:v>-1.9252258064516137</c:v>
                </c:pt>
                <c:pt idx="49">
                  <c:v>-1.9343935483870975</c:v>
                </c:pt>
                <c:pt idx="50">
                  <c:v>-1.9435612903225814</c:v>
                </c:pt>
                <c:pt idx="51">
                  <c:v>-1.9527290322580653</c:v>
                </c:pt>
                <c:pt idx="52">
                  <c:v>-1.9618967741935491</c:v>
                </c:pt>
                <c:pt idx="53">
                  <c:v>-1.971064516129033</c:v>
                </c:pt>
                <c:pt idx="54">
                  <c:v>-1.9802322580645169</c:v>
                </c:pt>
                <c:pt idx="55">
                  <c:v>-1.9894000000000007</c:v>
                </c:pt>
                <c:pt idx="56">
                  <c:v>-1.9985677419354846</c:v>
                </c:pt>
                <c:pt idx="57">
                  <c:v>-2.0077354838709685</c:v>
                </c:pt>
                <c:pt idx="58">
                  <c:v>-2.0169032258064523</c:v>
                </c:pt>
                <c:pt idx="59">
                  <c:v>-2.0260709677419362</c:v>
                </c:pt>
                <c:pt idx="60">
                  <c:v>-2.03523870967742</c:v>
                </c:pt>
                <c:pt idx="61">
                  <c:v>-2.0444064516129039</c:v>
                </c:pt>
                <c:pt idx="62">
                  <c:v>-2.0535741935483878</c:v>
                </c:pt>
                <c:pt idx="63">
                  <c:v>-2.0627419354838716</c:v>
                </c:pt>
                <c:pt idx="64">
                  <c:v>-2.0719096774193555</c:v>
                </c:pt>
                <c:pt idx="65">
                  <c:v>-2.0810774193548398</c:v>
                </c:pt>
                <c:pt idx="66">
                  <c:v>-2.0902451612903237</c:v>
                </c:pt>
                <c:pt idx="67">
                  <c:v>-2.0994129032258075</c:v>
                </c:pt>
                <c:pt idx="68">
                  <c:v>-2.1085806451612914</c:v>
                </c:pt>
                <c:pt idx="69">
                  <c:v>-2.20025806451613</c:v>
                </c:pt>
                <c:pt idx="70">
                  <c:v>-2.2919354838709687</c:v>
                </c:pt>
                <c:pt idx="71">
                  <c:v>-2.3836129032258078</c:v>
                </c:pt>
                <c:pt idx="72">
                  <c:v>-2.4752903225806464</c:v>
                </c:pt>
                <c:pt idx="73">
                  <c:v>-2.566967741935485</c:v>
                </c:pt>
                <c:pt idx="74">
                  <c:v>-2.6586451612903241</c:v>
                </c:pt>
                <c:pt idx="75">
                  <c:v>-2.667812903225808</c:v>
                </c:pt>
                <c:pt idx="76">
                  <c:v>-2.6769806451612919</c:v>
                </c:pt>
                <c:pt idx="77">
                  <c:v>-2.6861483870967757</c:v>
                </c:pt>
                <c:pt idx="78">
                  <c:v>-2.6953161290322596</c:v>
                </c:pt>
                <c:pt idx="79">
                  <c:v>-2.7044838709677435</c:v>
                </c:pt>
                <c:pt idx="80">
                  <c:v>-2.7136516129032273</c:v>
                </c:pt>
                <c:pt idx="81">
                  <c:v>-2.7228193548387112</c:v>
                </c:pt>
                <c:pt idx="82">
                  <c:v>-2.731987096774195</c:v>
                </c:pt>
                <c:pt idx="83">
                  <c:v>-2.7411548387096789</c:v>
                </c:pt>
                <c:pt idx="84">
                  <c:v>-2.7503225806451628</c:v>
                </c:pt>
                <c:pt idx="85">
                  <c:v>-2.7594903225806466</c:v>
                </c:pt>
                <c:pt idx="86">
                  <c:v>-2.7686580645161305</c:v>
                </c:pt>
                <c:pt idx="87">
                  <c:v>-2.7778258064516144</c:v>
                </c:pt>
                <c:pt idx="88">
                  <c:v>-2.7869935483870982</c:v>
                </c:pt>
                <c:pt idx="89">
                  <c:v>-2.7961612903225821</c:v>
                </c:pt>
                <c:pt idx="90">
                  <c:v>-2.805329032258066</c:v>
                </c:pt>
                <c:pt idx="91">
                  <c:v>-2.8144967741935498</c:v>
                </c:pt>
                <c:pt idx="92">
                  <c:v>-2.8236645161290337</c:v>
                </c:pt>
                <c:pt idx="93">
                  <c:v>-2.8328322580645175</c:v>
                </c:pt>
                <c:pt idx="94">
                  <c:v>-2.8420000000000014</c:v>
                </c:pt>
                <c:pt idx="95">
                  <c:v>-2.8511677419354853</c:v>
                </c:pt>
                <c:pt idx="96">
                  <c:v>-2.8603354838709691</c:v>
                </c:pt>
                <c:pt idx="97">
                  <c:v>-2.869503225806453</c:v>
                </c:pt>
                <c:pt idx="98">
                  <c:v>-2.8786709677419369</c:v>
                </c:pt>
                <c:pt idx="99">
                  <c:v>-2.8878387096774212</c:v>
                </c:pt>
                <c:pt idx="100">
                  <c:v>-2.897006451612905</c:v>
                </c:pt>
                <c:pt idx="101">
                  <c:v>-2.9061741935483889</c:v>
                </c:pt>
                <c:pt idx="102">
                  <c:v>-2.9153419354838728</c:v>
                </c:pt>
                <c:pt idx="103">
                  <c:v>-2.9245096774193566</c:v>
                </c:pt>
                <c:pt idx="104">
                  <c:v>-2.9336774193548405</c:v>
                </c:pt>
                <c:pt idx="105">
                  <c:v>-2.9428451612903244</c:v>
                </c:pt>
                <c:pt idx="106">
                  <c:v>-2.9520129032258082</c:v>
                </c:pt>
                <c:pt idx="107">
                  <c:v>-2.9611806451612921</c:v>
                </c:pt>
                <c:pt idx="108">
                  <c:v>-2.970348387096776</c:v>
                </c:pt>
                <c:pt idx="109">
                  <c:v>-2.9795161290322598</c:v>
                </c:pt>
                <c:pt idx="110">
                  <c:v>-2.9886838709677437</c:v>
                </c:pt>
                <c:pt idx="111">
                  <c:v>-2.9978516129032275</c:v>
                </c:pt>
                <c:pt idx="112">
                  <c:v>-3.0070193548387114</c:v>
                </c:pt>
                <c:pt idx="113">
                  <c:v>-3.0161870967741953</c:v>
                </c:pt>
                <c:pt idx="114">
                  <c:v>-3.025354838709676</c:v>
                </c:pt>
                <c:pt idx="115">
                  <c:v>-3.0149225806451598</c:v>
                </c:pt>
                <c:pt idx="116">
                  <c:v>-3.0044903225806436</c:v>
                </c:pt>
                <c:pt idx="117">
                  <c:v>-2.9940580645161274</c:v>
                </c:pt>
                <c:pt idx="118">
                  <c:v>-2.9836258064516112</c:v>
                </c:pt>
                <c:pt idx="119">
                  <c:v>-2.973193548387095</c:v>
                </c:pt>
                <c:pt idx="120">
                  <c:v>-2.9627612903225788</c:v>
                </c:pt>
                <c:pt idx="121">
                  <c:v>-2.9523290322580631</c:v>
                </c:pt>
                <c:pt idx="122">
                  <c:v>-2.9418967741935469</c:v>
                </c:pt>
                <c:pt idx="123">
                  <c:v>-2.9314645161290307</c:v>
                </c:pt>
                <c:pt idx="124">
                  <c:v>-2.9210322580645145</c:v>
                </c:pt>
                <c:pt idx="125">
                  <c:v>-2.816709677419353</c:v>
                </c:pt>
                <c:pt idx="126">
                  <c:v>-2.7123870967741919</c:v>
                </c:pt>
                <c:pt idx="127">
                  <c:v>-2.6080645161290303</c:v>
                </c:pt>
                <c:pt idx="128">
                  <c:v>-2.5037419354838688</c:v>
                </c:pt>
                <c:pt idx="129">
                  <c:v>-2.3994193548387077</c:v>
                </c:pt>
                <c:pt idx="130">
                  <c:v>-2.2950967741935462</c:v>
                </c:pt>
                <c:pt idx="131">
                  <c:v>-2.1907741935483847</c:v>
                </c:pt>
                <c:pt idx="132">
                  <c:v>-2.0864516129032231</c:v>
                </c:pt>
                <c:pt idx="133">
                  <c:v>-1.982129032258062</c:v>
                </c:pt>
                <c:pt idx="134">
                  <c:v>-1.8778064516129005</c:v>
                </c:pt>
                <c:pt idx="135">
                  <c:v>-1.7734838709677392</c:v>
                </c:pt>
                <c:pt idx="136">
                  <c:v>-1.6691612903225777</c:v>
                </c:pt>
                <c:pt idx="137">
                  <c:v>-1.5648387096774163</c:v>
                </c:pt>
                <c:pt idx="138">
                  <c:v>-1.460516129032255</c:v>
                </c:pt>
                <c:pt idx="139">
                  <c:v>-1.3561935483870935</c:v>
                </c:pt>
                <c:pt idx="140">
                  <c:v>-1.2518709677419322</c:v>
                </c:pt>
                <c:pt idx="141">
                  <c:v>-1.1475483870967709</c:v>
                </c:pt>
                <c:pt idx="142">
                  <c:v>-1.0432258064516093</c:v>
                </c:pt>
                <c:pt idx="143">
                  <c:v>-0.93890322580644803</c:v>
                </c:pt>
                <c:pt idx="144">
                  <c:v>-0.83458064516128661</c:v>
                </c:pt>
                <c:pt idx="145">
                  <c:v>-0.73025806451612518</c:v>
                </c:pt>
                <c:pt idx="146">
                  <c:v>-0.62593548387096376</c:v>
                </c:pt>
                <c:pt idx="147">
                  <c:v>-0.52161290322580245</c:v>
                </c:pt>
                <c:pt idx="148">
                  <c:v>-0.41729032258064103</c:v>
                </c:pt>
                <c:pt idx="149">
                  <c:v>-0.3129677419354796</c:v>
                </c:pt>
                <c:pt idx="150">
                  <c:v>-0.20864516129031824</c:v>
                </c:pt>
                <c:pt idx="151">
                  <c:v>-0.1982129032258021</c:v>
                </c:pt>
                <c:pt idx="152">
                  <c:v>-0.18778064516128595</c:v>
                </c:pt>
                <c:pt idx="153">
                  <c:v>-0.17734838709676981</c:v>
                </c:pt>
                <c:pt idx="154">
                  <c:v>-0.16691612903225367</c:v>
                </c:pt>
                <c:pt idx="155">
                  <c:v>-0.15648387096773753</c:v>
                </c:pt>
                <c:pt idx="156">
                  <c:v>-0.14605161290322138</c:v>
                </c:pt>
                <c:pt idx="157">
                  <c:v>-0.13561935483870524</c:v>
                </c:pt>
                <c:pt idx="158">
                  <c:v>-0.1251870967741891</c:v>
                </c:pt>
                <c:pt idx="159">
                  <c:v>-0.11475483870967297</c:v>
                </c:pt>
                <c:pt idx="160">
                  <c:v>-0.10432258064515683</c:v>
                </c:pt>
                <c:pt idx="161">
                  <c:v>-9.3890322580640687E-2</c:v>
                </c:pt>
                <c:pt idx="162">
                  <c:v>-8.3458064516124544E-2</c:v>
                </c:pt>
                <c:pt idx="163">
                  <c:v>-7.3025806451608416E-2</c:v>
                </c:pt>
                <c:pt idx="164">
                  <c:v>-6.2593548387092274E-2</c:v>
                </c:pt>
                <c:pt idx="165">
                  <c:v>-5.2161290322576132E-2</c:v>
                </c:pt>
                <c:pt idx="166">
                  <c:v>-4.1729032258059989E-2</c:v>
                </c:pt>
                <c:pt idx="167">
                  <c:v>-3.1296774193543854E-2</c:v>
                </c:pt>
                <c:pt idx="168">
                  <c:v>-2.0864516129027712E-2</c:v>
                </c:pt>
                <c:pt idx="169">
                  <c:v>-1.0432258064511573E-2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F-4F48-B55E-CC08F4762EA4}"/>
            </c:ext>
          </c:extLst>
        </c:ser>
        <c:ser>
          <c:idx val="0"/>
          <c:order val="2"/>
          <c:tx>
            <c:strRef>
              <c:f>'実験2-SFD図とBMD図の自動作成'!$L$58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'実験2-SFD図とBMD図の自動作成'!$K$59:$K$229</c:f>
              <c:numCache>
                <c:formatCode>General</c:formatCode>
                <c:ptCount val="17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2.0000000000000004E-2</c:v>
                </c:pt>
                <c:pt idx="12">
                  <c:v>3.0000000000000006E-2</c:v>
                </c:pt>
                <c:pt idx="13">
                  <c:v>4.0000000000000008E-2</c:v>
                </c:pt>
                <c:pt idx="14">
                  <c:v>5.000000000000001E-2</c:v>
                </c:pt>
                <c:pt idx="15">
                  <c:v>6.0000000000000012E-2</c:v>
                </c:pt>
                <c:pt idx="16">
                  <c:v>7.0000000000000007E-2</c:v>
                </c:pt>
                <c:pt idx="17">
                  <c:v>0.08</c:v>
                </c:pt>
                <c:pt idx="18">
                  <c:v>0.09</c:v>
                </c:pt>
                <c:pt idx="19">
                  <c:v>9.9999999999999992E-2</c:v>
                </c:pt>
                <c:pt idx="20">
                  <c:v>0.10999999999999999</c:v>
                </c:pt>
                <c:pt idx="21">
                  <c:v>0.11099999999999999</c:v>
                </c:pt>
                <c:pt idx="22">
                  <c:v>0.11199999999999999</c:v>
                </c:pt>
                <c:pt idx="23">
                  <c:v>0.11299999999999999</c:v>
                </c:pt>
                <c:pt idx="24">
                  <c:v>0.11399999999999999</c:v>
                </c:pt>
                <c:pt idx="25">
                  <c:v>0.11499999999999999</c:v>
                </c:pt>
                <c:pt idx="26">
                  <c:v>0.11599999999999999</c:v>
                </c:pt>
                <c:pt idx="27">
                  <c:v>0.11699999999999999</c:v>
                </c:pt>
                <c:pt idx="28">
                  <c:v>0.11799999999999999</c:v>
                </c:pt>
                <c:pt idx="29">
                  <c:v>0.11899999999999999</c:v>
                </c:pt>
                <c:pt idx="30">
                  <c:v>0.12</c:v>
                </c:pt>
                <c:pt idx="31">
                  <c:v>0.121</c:v>
                </c:pt>
                <c:pt idx="32">
                  <c:v>0.122</c:v>
                </c:pt>
                <c:pt idx="33">
                  <c:v>0.123</c:v>
                </c:pt>
                <c:pt idx="34">
                  <c:v>0.124</c:v>
                </c:pt>
                <c:pt idx="35">
                  <c:v>0.125</c:v>
                </c:pt>
                <c:pt idx="36">
                  <c:v>0.126</c:v>
                </c:pt>
                <c:pt idx="37">
                  <c:v>0.127</c:v>
                </c:pt>
                <c:pt idx="38">
                  <c:v>0.128</c:v>
                </c:pt>
                <c:pt idx="39">
                  <c:v>0.129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0.15000000000000002</c:v>
                </c:pt>
                <c:pt idx="43">
                  <c:v>0.16000000000000003</c:v>
                </c:pt>
                <c:pt idx="44">
                  <c:v>0.17000000000000004</c:v>
                </c:pt>
                <c:pt idx="45">
                  <c:v>0.18000000000000005</c:v>
                </c:pt>
                <c:pt idx="46">
                  <c:v>0.19000000000000006</c:v>
                </c:pt>
                <c:pt idx="47">
                  <c:v>0.20000000000000007</c:v>
                </c:pt>
                <c:pt idx="48">
                  <c:v>0.21000000000000008</c:v>
                </c:pt>
                <c:pt idx="49">
                  <c:v>0.21100000000000008</c:v>
                </c:pt>
                <c:pt idx="50">
                  <c:v>0.21200000000000008</c:v>
                </c:pt>
                <c:pt idx="51">
                  <c:v>0.21300000000000008</c:v>
                </c:pt>
                <c:pt idx="52">
                  <c:v>0.21400000000000008</c:v>
                </c:pt>
                <c:pt idx="53">
                  <c:v>0.21500000000000008</c:v>
                </c:pt>
                <c:pt idx="54">
                  <c:v>0.21600000000000008</c:v>
                </c:pt>
                <c:pt idx="55">
                  <c:v>0.21700000000000008</c:v>
                </c:pt>
                <c:pt idx="56">
                  <c:v>0.21800000000000008</c:v>
                </c:pt>
                <c:pt idx="57">
                  <c:v>0.21900000000000008</c:v>
                </c:pt>
                <c:pt idx="58">
                  <c:v>0.22000000000000008</c:v>
                </c:pt>
                <c:pt idx="59">
                  <c:v>0.22100000000000009</c:v>
                </c:pt>
                <c:pt idx="60">
                  <c:v>0.22200000000000009</c:v>
                </c:pt>
                <c:pt idx="61">
                  <c:v>0.22300000000000009</c:v>
                </c:pt>
                <c:pt idx="62">
                  <c:v>0.22400000000000009</c:v>
                </c:pt>
                <c:pt idx="63">
                  <c:v>0.22500000000000009</c:v>
                </c:pt>
                <c:pt idx="64">
                  <c:v>0.22600000000000009</c:v>
                </c:pt>
                <c:pt idx="65">
                  <c:v>0.22700000000000009</c:v>
                </c:pt>
                <c:pt idx="66">
                  <c:v>0.22800000000000009</c:v>
                </c:pt>
                <c:pt idx="67">
                  <c:v>0.22900000000000009</c:v>
                </c:pt>
                <c:pt idx="68">
                  <c:v>0.23000000000000009</c:v>
                </c:pt>
                <c:pt idx="69">
                  <c:v>0.2400000000000001</c:v>
                </c:pt>
                <c:pt idx="70">
                  <c:v>0.25000000000000011</c:v>
                </c:pt>
                <c:pt idx="71">
                  <c:v>0.26000000000000012</c:v>
                </c:pt>
                <c:pt idx="72">
                  <c:v>0.27000000000000013</c:v>
                </c:pt>
                <c:pt idx="73">
                  <c:v>0.28000000000000014</c:v>
                </c:pt>
                <c:pt idx="74">
                  <c:v>0.29000000000000015</c:v>
                </c:pt>
                <c:pt idx="75">
                  <c:v>0.30000000000000016</c:v>
                </c:pt>
                <c:pt idx="76">
                  <c:v>0.30100000000000016</c:v>
                </c:pt>
                <c:pt idx="77">
                  <c:v>0.30200000000000016</c:v>
                </c:pt>
                <c:pt idx="78">
                  <c:v>0.30300000000000016</c:v>
                </c:pt>
                <c:pt idx="79">
                  <c:v>0.30400000000000016</c:v>
                </c:pt>
                <c:pt idx="80">
                  <c:v>0.30500000000000016</c:v>
                </c:pt>
                <c:pt idx="81">
                  <c:v>0.30600000000000016</c:v>
                </c:pt>
                <c:pt idx="82">
                  <c:v>0.30700000000000016</c:v>
                </c:pt>
                <c:pt idx="83">
                  <c:v>0.30800000000000016</c:v>
                </c:pt>
                <c:pt idx="84">
                  <c:v>0.30900000000000016</c:v>
                </c:pt>
                <c:pt idx="85">
                  <c:v>0.31000000000000016</c:v>
                </c:pt>
                <c:pt idx="86">
                  <c:v>0.31100000000000017</c:v>
                </c:pt>
                <c:pt idx="87">
                  <c:v>0.31200000000000017</c:v>
                </c:pt>
                <c:pt idx="88">
                  <c:v>0.31300000000000017</c:v>
                </c:pt>
                <c:pt idx="89">
                  <c:v>0.31400000000000017</c:v>
                </c:pt>
                <c:pt idx="90">
                  <c:v>0.31500000000000017</c:v>
                </c:pt>
                <c:pt idx="91">
                  <c:v>0.31600000000000017</c:v>
                </c:pt>
                <c:pt idx="92">
                  <c:v>0.31700000000000017</c:v>
                </c:pt>
                <c:pt idx="93">
                  <c:v>0.31800000000000017</c:v>
                </c:pt>
                <c:pt idx="94">
                  <c:v>0.31900000000000017</c:v>
                </c:pt>
                <c:pt idx="95">
                  <c:v>0.32000000000000017</c:v>
                </c:pt>
                <c:pt idx="96">
                  <c:v>0.32100000000000017</c:v>
                </c:pt>
                <c:pt idx="97">
                  <c:v>0.32200000000000017</c:v>
                </c:pt>
                <c:pt idx="98">
                  <c:v>0.32300000000000018</c:v>
                </c:pt>
                <c:pt idx="99">
                  <c:v>0.32400000000000018</c:v>
                </c:pt>
                <c:pt idx="100">
                  <c:v>0.32500000000000018</c:v>
                </c:pt>
                <c:pt idx="101">
                  <c:v>0.32600000000000018</c:v>
                </c:pt>
                <c:pt idx="102">
                  <c:v>0.32700000000000018</c:v>
                </c:pt>
                <c:pt idx="103">
                  <c:v>0.32800000000000018</c:v>
                </c:pt>
                <c:pt idx="104">
                  <c:v>0.32900000000000018</c:v>
                </c:pt>
                <c:pt idx="105">
                  <c:v>0.33000000000000018</c:v>
                </c:pt>
                <c:pt idx="106">
                  <c:v>0.34000000000000019</c:v>
                </c:pt>
                <c:pt idx="107">
                  <c:v>0.34100000000000019</c:v>
                </c:pt>
                <c:pt idx="108">
                  <c:v>0.34200000000000019</c:v>
                </c:pt>
                <c:pt idx="109">
                  <c:v>0.34300000000000019</c:v>
                </c:pt>
                <c:pt idx="110">
                  <c:v>0.34400000000000019</c:v>
                </c:pt>
                <c:pt idx="111">
                  <c:v>0.3450000000000002</c:v>
                </c:pt>
                <c:pt idx="112">
                  <c:v>0.3460000000000002</c:v>
                </c:pt>
                <c:pt idx="113">
                  <c:v>0.3470000000000002</c:v>
                </c:pt>
                <c:pt idx="114">
                  <c:v>0.3480000000000002</c:v>
                </c:pt>
                <c:pt idx="115">
                  <c:v>0.3490000000000002</c:v>
                </c:pt>
                <c:pt idx="116">
                  <c:v>0.3500000000000002</c:v>
                </c:pt>
                <c:pt idx="117">
                  <c:v>0.3510000000000002</c:v>
                </c:pt>
                <c:pt idx="118">
                  <c:v>0.3520000000000002</c:v>
                </c:pt>
                <c:pt idx="119">
                  <c:v>0.3530000000000002</c:v>
                </c:pt>
                <c:pt idx="120">
                  <c:v>0.3540000000000002</c:v>
                </c:pt>
                <c:pt idx="121">
                  <c:v>0.3550000000000002</c:v>
                </c:pt>
                <c:pt idx="122">
                  <c:v>0.35600000000000021</c:v>
                </c:pt>
                <c:pt idx="123">
                  <c:v>0.35700000000000021</c:v>
                </c:pt>
                <c:pt idx="124">
                  <c:v>0.35800000000000021</c:v>
                </c:pt>
                <c:pt idx="125">
                  <c:v>0.35900000000000021</c:v>
                </c:pt>
                <c:pt idx="126">
                  <c:v>0.36000000000000021</c:v>
                </c:pt>
                <c:pt idx="127">
                  <c:v>0.37000000000000022</c:v>
                </c:pt>
                <c:pt idx="128">
                  <c:v>0.38000000000000023</c:v>
                </c:pt>
                <c:pt idx="129">
                  <c:v>0.39000000000000024</c:v>
                </c:pt>
                <c:pt idx="130">
                  <c:v>0.40000000000000024</c:v>
                </c:pt>
                <c:pt idx="131">
                  <c:v>0.41000000000000025</c:v>
                </c:pt>
                <c:pt idx="132">
                  <c:v>0.42000000000000026</c:v>
                </c:pt>
                <c:pt idx="133">
                  <c:v>0.43000000000000027</c:v>
                </c:pt>
                <c:pt idx="134">
                  <c:v>0.44000000000000028</c:v>
                </c:pt>
                <c:pt idx="135">
                  <c:v>0.45000000000000029</c:v>
                </c:pt>
                <c:pt idx="136">
                  <c:v>0.4600000000000003</c:v>
                </c:pt>
                <c:pt idx="137">
                  <c:v>0.47000000000000031</c:v>
                </c:pt>
                <c:pt idx="138">
                  <c:v>0.48000000000000032</c:v>
                </c:pt>
                <c:pt idx="139">
                  <c:v>0.49000000000000032</c:v>
                </c:pt>
                <c:pt idx="140">
                  <c:v>0.50000000000000033</c:v>
                </c:pt>
                <c:pt idx="141">
                  <c:v>0.51000000000000034</c:v>
                </c:pt>
                <c:pt idx="142">
                  <c:v>0.52000000000000035</c:v>
                </c:pt>
                <c:pt idx="143">
                  <c:v>0.53000000000000036</c:v>
                </c:pt>
                <c:pt idx="144">
                  <c:v>0.54000000000000037</c:v>
                </c:pt>
                <c:pt idx="145">
                  <c:v>0.55000000000000038</c:v>
                </c:pt>
                <c:pt idx="146">
                  <c:v>0.56000000000000039</c:v>
                </c:pt>
                <c:pt idx="147">
                  <c:v>0.5700000000000004</c:v>
                </c:pt>
                <c:pt idx="148">
                  <c:v>0.5800000000000004</c:v>
                </c:pt>
                <c:pt idx="149">
                  <c:v>0.59000000000000041</c:v>
                </c:pt>
                <c:pt idx="150">
                  <c:v>0.60000000000000042</c:v>
                </c:pt>
                <c:pt idx="151">
                  <c:v>0.60100000000000042</c:v>
                </c:pt>
                <c:pt idx="152">
                  <c:v>0.60200000000000042</c:v>
                </c:pt>
                <c:pt idx="153">
                  <c:v>0.60300000000000042</c:v>
                </c:pt>
                <c:pt idx="154">
                  <c:v>0.60400000000000043</c:v>
                </c:pt>
                <c:pt idx="155">
                  <c:v>0.60500000000000043</c:v>
                </c:pt>
                <c:pt idx="156">
                  <c:v>0.60600000000000043</c:v>
                </c:pt>
                <c:pt idx="157">
                  <c:v>0.60700000000000043</c:v>
                </c:pt>
                <c:pt idx="158">
                  <c:v>0.60800000000000043</c:v>
                </c:pt>
                <c:pt idx="159">
                  <c:v>0.60900000000000043</c:v>
                </c:pt>
                <c:pt idx="160">
                  <c:v>0.61000000000000043</c:v>
                </c:pt>
                <c:pt idx="161">
                  <c:v>0.61100000000000043</c:v>
                </c:pt>
                <c:pt idx="162">
                  <c:v>0.61200000000000043</c:v>
                </c:pt>
                <c:pt idx="163">
                  <c:v>0.61300000000000043</c:v>
                </c:pt>
                <c:pt idx="164">
                  <c:v>0.61400000000000043</c:v>
                </c:pt>
                <c:pt idx="165">
                  <c:v>0.61500000000000044</c:v>
                </c:pt>
                <c:pt idx="166">
                  <c:v>0.61600000000000044</c:v>
                </c:pt>
                <c:pt idx="167">
                  <c:v>0.61700000000000044</c:v>
                </c:pt>
                <c:pt idx="168">
                  <c:v>0.61800000000000044</c:v>
                </c:pt>
                <c:pt idx="169">
                  <c:v>0.61900000000000044</c:v>
                </c:pt>
                <c:pt idx="170">
                  <c:v>0.62000000000000044</c:v>
                </c:pt>
              </c:numCache>
            </c:numRef>
          </c:xVal>
          <c:yVal>
            <c:numRef>
              <c:f>'実験2-SFD図とBMD図の自動作成'!$L$59:$L$229</c:f>
              <c:numCache>
                <c:formatCode>General</c:formatCode>
                <c:ptCount val="171"/>
                <c:pt idx="0">
                  <c:v>0</c:v>
                </c:pt>
                <c:pt idx="1">
                  <c:v>-7.6645161290322594E-3</c:v>
                </c:pt>
                <c:pt idx="2">
                  <c:v>-1.5329032258064519E-2</c:v>
                </c:pt>
                <c:pt idx="3">
                  <c:v>-2.2993548387096777E-2</c:v>
                </c:pt>
                <c:pt idx="4">
                  <c:v>-3.0658064516129038E-2</c:v>
                </c:pt>
                <c:pt idx="5">
                  <c:v>-3.8322580645161301E-2</c:v>
                </c:pt>
                <c:pt idx="6">
                  <c:v>-4.5987096774193555E-2</c:v>
                </c:pt>
                <c:pt idx="7">
                  <c:v>-5.3651612903225815E-2</c:v>
                </c:pt>
                <c:pt idx="8">
                  <c:v>-6.1316129032258075E-2</c:v>
                </c:pt>
                <c:pt idx="9">
                  <c:v>-6.8980645161290349E-2</c:v>
                </c:pt>
                <c:pt idx="10">
                  <c:v>-7.6645161290322603E-2</c:v>
                </c:pt>
                <c:pt idx="11">
                  <c:v>-0.15329032258064521</c:v>
                </c:pt>
                <c:pt idx="12">
                  <c:v>-0.22993548387096782</c:v>
                </c:pt>
                <c:pt idx="13">
                  <c:v>-0.30658064516129041</c:v>
                </c:pt>
                <c:pt idx="14">
                  <c:v>-0.38322580645161303</c:v>
                </c:pt>
                <c:pt idx="15">
                  <c:v>-0.45987096774193564</c:v>
                </c:pt>
                <c:pt idx="16">
                  <c:v>-0.5365161290322582</c:v>
                </c:pt>
                <c:pt idx="17">
                  <c:v>-0.61316129032258082</c:v>
                </c:pt>
                <c:pt idx="18">
                  <c:v>-0.68980645161290333</c:v>
                </c:pt>
                <c:pt idx="19">
                  <c:v>-0.76645161290322583</c:v>
                </c:pt>
                <c:pt idx="20">
                  <c:v>-0.84309677419354845</c:v>
                </c:pt>
                <c:pt idx="21">
                  <c:v>-0.85076129032258074</c:v>
                </c:pt>
                <c:pt idx="22">
                  <c:v>-0.85842580645161293</c:v>
                </c:pt>
                <c:pt idx="23">
                  <c:v>-0.86609032258064522</c:v>
                </c:pt>
                <c:pt idx="24">
                  <c:v>-0.87375483870967752</c:v>
                </c:pt>
                <c:pt idx="25">
                  <c:v>-0.88141935483870981</c:v>
                </c:pt>
                <c:pt idx="26">
                  <c:v>-0.889083870967742</c:v>
                </c:pt>
                <c:pt idx="27">
                  <c:v>-0.89674838709677429</c:v>
                </c:pt>
                <c:pt idx="28">
                  <c:v>-0.90441290322580659</c:v>
                </c:pt>
                <c:pt idx="29">
                  <c:v>-0.91207741935483888</c:v>
                </c:pt>
                <c:pt idx="30">
                  <c:v>-0.91974193548387106</c:v>
                </c:pt>
                <c:pt idx="31">
                  <c:v>-0.92740645161290336</c:v>
                </c:pt>
                <c:pt idx="32">
                  <c:v>-0.93507096774193565</c:v>
                </c:pt>
                <c:pt idx="33">
                  <c:v>-0.94273548387096795</c:v>
                </c:pt>
                <c:pt idx="34">
                  <c:v>-0.95040000000000013</c:v>
                </c:pt>
                <c:pt idx="35">
                  <c:v>-0.95806451612903243</c:v>
                </c:pt>
                <c:pt idx="36">
                  <c:v>-0.96572903225806472</c:v>
                </c:pt>
                <c:pt idx="37">
                  <c:v>-0.97339354838709691</c:v>
                </c:pt>
                <c:pt idx="38">
                  <c:v>-0.9810580645161292</c:v>
                </c:pt>
                <c:pt idx="39">
                  <c:v>-0.9887225806451615</c:v>
                </c:pt>
                <c:pt idx="40">
                  <c:v>-0.99638709677419379</c:v>
                </c:pt>
                <c:pt idx="41">
                  <c:v>-1.0730322580645164</c:v>
                </c:pt>
                <c:pt idx="42">
                  <c:v>-1.1496774193548391</c:v>
                </c:pt>
                <c:pt idx="43">
                  <c:v>-1.2263225806451616</c:v>
                </c:pt>
                <c:pt idx="44">
                  <c:v>-1.3029677419354844</c:v>
                </c:pt>
                <c:pt idx="45">
                  <c:v>-1.3796129032258071</c:v>
                </c:pt>
                <c:pt idx="46">
                  <c:v>-1.4562580645161298</c:v>
                </c:pt>
                <c:pt idx="47">
                  <c:v>-1.5329032258064523</c:v>
                </c:pt>
                <c:pt idx="48">
                  <c:v>-1.6095483870967751</c:v>
                </c:pt>
                <c:pt idx="49">
                  <c:v>-1.6172129032258074</c:v>
                </c:pt>
                <c:pt idx="50">
                  <c:v>-1.6248774193548396</c:v>
                </c:pt>
                <c:pt idx="51">
                  <c:v>-1.6325419354838719</c:v>
                </c:pt>
                <c:pt idx="52">
                  <c:v>-1.640206451612904</c:v>
                </c:pt>
                <c:pt idx="53">
                  <c:v>-1.6478709677419363</c:v>
                </c:pt>
                <c:pt idx="54">
                  <c:v>-1.6555354838709686</c:v>
                </c:pt>
                <c:pt idx="55">
                  <c:v>-1.6632000000000009</c:v>
                </c:pt>
                <c:pt idx="56">
                  <c:v>-1.6708645161290332</c:v>
                </c:pt>
                <c:pt idx="57">
                  <c:v>-1.6785290322580655</c:v>
                </c:pt>
                <c:pt idx="58">
                  <c:v>-1.6861935483870978</c:v>
                </c:pt>
                <c:pt idx="59">
                  <c:v>-1.6938580645161301</c:v>
                </c:pt>
                <c:pt idx="60">
                  <c:v>-1.7015225806451622</c:v>
                </c:pt>
                <c:pt idx="61">
                  <c:v>-1.7091870967741944</c:v>
                </c:pt>
                <c:pt idx="62">
                  <c:v>-1.7168516129032267</c:v>
                </c:pt>
                <c:pt idx="63">
                  <c:v>-1.724516129032259</c:v>
                </c:pt>
                <c:pt idx="64">
                  <c:v>-1.7321806451612913</c:v>
                </c:pt>
                <c:pt idx="65">
                  <c:v>-1.7398451612903236</c:v>
                </c:pt>
                <c:pt idx="66">
                  <c:v>-1.7475096774193559</c:v>
                </c:pt>
                <c:pt idx="67">
                  <c:v>-1.7551741935483882</c:v>
                </c:pt>
                <c:pt idx="68">
                  <c:v>-1.7628387096774203</c:v>
                </c:pt>
                <c:pt idx="69">
                  <c:v>-1.839483870967743</c:v>
                </c:pt>
                <c:pt idx="70">
                  <c:v>-1.9161290322580657</c:v>
                </c:pt>
                <c:pt idx="71">
                  <c:v>-1.9927741935483885</c:v>
                </c:pt>
                <c:pt idx="72">
                  <c:v>-2.0694193548387112</c:v>
                </c:pt>
                <c:pt idx="73">
                  <c:v>-2.1460645161290337</c:v>
                </c:pt>
                <c:pt idx="74">
                  <c:v>-2.2227096774193562</c:v>
                </c:pt>
                <c:pt idx="75">
                  <c:v>-2.2993548387096792</c:v>
                </c:pt>
                <c:pt idx="76">
                  <c:v>-2.3070193548387112</c:v>
                </c:pt>
                <c:pt idx="77">
                  <c:v>-2.3146838709677438</c:v>
                </c:pt>
                <c:pt idx="78">
                  <c:v>-2.3223483870967758</c:v>
                </c:pt>
                <c:pt idx="79">
                  <c:v>-2.3300129032258079</c:v>
                </c:pt>
                <c:pt idx="80">
                  <c:v>-2.3376774193548404</c:v>
                </c:pt>
                <c:pt idx="81">
                  <c:v>-2.3453419354838725</c:v>
                </c:pt>
                <c:pt idx="82">
                  <c:v>-2.353006451612905</c:v>
                </c:pt>
                <c:pt idx="83">
                  <c:v>-2.3606709677419371</c:v>
                </c:pt>
                <c:pt idx="84">
                  <c:v>-2.3683354838709696</c:v>
                </c:pt>
                <c:pt idx="85">
                  <c:v>-2.3760000000000017</c:v>
                </c:pt>
                <c:pt idx="86">
                  <c:v>-2.3836645161290337</c:v>
                </c:pt>
                <c:pt idx="87">
                  <c:v>-2.3913290322580663</c:v>
                </c:pt>
                <c:pt idx="88">
                  <c:v>-2.3989935483870983</c:v>
                </c:pt>
                <c:pt idx="89">
                  <c:v>-2.4066580645161308</c:v>
                </c:pt>
                <c:pt idx="90">
                  <c:v>-2.4143225806451629</c:v>
                </c:pt>
                <c:pt idx="91">
                  <c:v>-2.4219870967741954</c:v>
                </c:pt>
                <c:pt idx="92">
                  <c:v>-2.4296516129032275</c:v>
                </c:pt>
                <c:pt idx="93">
                  <c:v>-2.43731612903226</c:v>
                </c:pt>
                <c:pt idx="94">
                  <c:v>-2.4449806451612921</c:v>
                </c:pt>
                <c:pt idx="95">
                  <c:v>-2.4526451612903242</c:v>
                </c:pt>
                <c:pt idx="96">
                  <c:v>-2.4603096774193567</c:v>
                </c:pt>
                <c:pt idx="97">
                  <c:v>-2.4679741935483888</c:v>
                </c:pt>
                <c:pt idx="98">
                  <c:v>-2.4756387096774213</c:v>
                </c:pt>
                <c:pt idx="99">
                  <c:v>-2.4833032258064534</c:v>
                </c:pt>
                <c:pt idx="100">
                  <c:v>-2.4909677419354859</c:v>
                </c:pt>
                <c:pt idx="101">
                  <c:v>-2.4986322580645179</c:v>
                </c:pt>
                <c:pt idx="102">
                  <c:v>-2.50629677419355</c:v>
                </c:pt>
                <c:pt idx="103">
                  <c:v>-2.5139612903225825</c:v>
                </c:pt>
                <c:pt idx="104">
                  <c:v>-2.5216258064516146</c:v>
                </c:pt>
                <c:pt idx="105">
                  <c:v>-2.5292903225806471</c:v>
                </c:pt>
                <c:pt idx="106">
                  <c:v>-2.6059354838709696</c:v>
                </c:pt>
                <c:pt idx="107">
                  <c:v>-2.6136000000000021</c:v>
                </c:pt>
                <c:pt idx="108">
                  <c:v>-2.6212645161290342</c:v>
                </c:pt>
                <c:pt idx="109">
                  <c:v>-2.6289290322580663</c:v>
                </c:pt>
                <c:pt idx="110">
                  <c:v>-2.6365935483870988</c:v>
                </c:pt>
                <c:pt idx="111">
                  <c:v>-2.6442580645161309</c:v>
                </c:pt>
                <c:pt idx="112">
                  <c:v>-2.6519225806451634</c:v>
                </c:pt>
                <c:pt idx="113">
                  <c:v>-2.6595870967741955</c:v>
                </c:pt>
                <c:pt idx="114">
                  <c:v>-2.667251612903228</c:v>
                </c:pt>
                <c:pt idx="115">
                  <c:v>-2.6749161290322601</c:v>
                </c:pt>
                <c:pt idx="116">
                  <c:v>-2.6825806451612886</c:v>
                </c:pt>
                <c:pt idx="117">
                  <c:v>-2.6726451612903208</c:v>
                </c:pt>
                <c:pt idx="118">
                  <c:v>-2.662709677419353</c:v>
                </c:pt>
                <c:pt idx="119">
                  <c:v>-2.6527741935483853</c:v>
                </c:pt>
                <c:pt idx="120">
                  <c:v>-2.6428387096774175</c:v>
                </c:pt>
                <c:pt idx="121">
                  <c:v>-2.6329032258064498</c:v>
                </c:pt>
                <c:pt idx="122">
                  <c:v>-2.622967741935482</c:v>
                </c:pt>
                <c:pt idx="123">
                  <c:v>-2.6130322580645142</c:v>
                </c:pt>
                <c:pt idx="124">
                  <c:v>-2.6030967741935465</c:v>
                </c:pt>
                <c:pt idx="125">
                  <c:v>-2.5931612903225787</c:v>
                </c:pt>
                <c:pt idx="126">
                  <c:v>-2.5832258064516109</c:v>
                </c:pt>
                <c:pt idx="127">
                  <c:v>-2.4838709677419333</c:v>
                </c:pt>
                <c:pt idx="128">
                  <c:v>-2.3845161290322561</c:v>
                </c:pt>
                <c:pt idx="129">
                  <c:v>-2.2851612903225784</c:v>
                </c:pt>
                <c:pt idx="130">
                  <c:v>-2.1858064516129008</c:v>
                </c:pt>
                <c:pt idx="131">
                  <c:v>-2.0864516129032236</c:v>
                </c:pt>
                <c:pt idx="132">
                  <c:v>-1.9870967741935459</c:v>
                </c:pt>
                <c:pt idx="133">
                  <c:v>-1.8877419354838683</c:v>
                </c:pt>
                <c:pt idx="134">
                  <c:v>-1.7883870967741908</c:v>
                </c:pt>
                <c:pt idx="135">
                  <c:v>-1.6890322580645134</c:v>
                </c:pt>
                <c:pt idx="136">
                  <c:v>-1.5896774193548358</c:v>
                </c:pt>
                <c:pt idx="137">
                  <c:v>-1.4903225806451583</c:v>
                </c:pt>
                <c:pt idx="138">
                  <c:v>-1.3909677419354809</c:v>
                </c:pt>
                <c:pt idx="139">
                  <c:v>-1.2916129032258032</c:v>
                </c:pt>
                <c:pt idx="140">
                  <c:v>-1.1922580645161258</c:v>
                </c:pt>
                <c:pt idx="141">
                  <c:v>-1.0929032258064484</c:v>
                </c:pt>
                <c:pt idx="142">
                  <c:v>-0.99354838709677074</c:v>
                </c:pt>
                <c:pt idx="143">
                  <c:v>-0.89419354838709331</c:v>
                </c:pt>
                <c:pt idx="144">
                  <c:v>-0.79483870967741577</c:v>
                </c:pt>
                <c:pt idx="145">
                  <c:v>-0.69548387096773823</c:v>
                </c:pt>
                <c:pt idx="146">
                  <c:v>-0.5961290322580608</c:v>
                </c:pt>
                <c:pt idx="147">
                  <c:v>-0.49677419354838326</c:v>
                </c:pt>
                <c:pt idx="148">
                  <c:v>-0.39741935483870572</c:v>
                </c:pt>
                <c:pt idx="149">
                  <c:v>-0.29806451612902823</c:v>
                </c:pt>
                <c:pt idx="150">
                  <c:v>-0.19870967741935072</c:v>
                </c:pt>
                <c:pt idx="151">
                  <c:v>-0.18877419354838296</c:v>
                </c:pt>
                <c:pt idx="152">
                  <c:v>-0.17883870967741522</c:v>
                </c:pt>
                <c:pt idx="153">
                  <c:v>-0.16890322580644745</c:v>
                </c:pt>
                <c:pt idx="154">
                  <c:v>-0.15896774193547972</c:v>
                </c:pt>
                <c:pt idx="155">
                  <c:v>-0.14903225806451195</c:v>
                </c:pt>
                <c:pt idx="156">
                  <c:v>-0.13909677419354421</c:v>
                </c:pt>
                <c:pt idx="157">
                  <c:v>-0.12916129032257645</c:v>
                </c:pt>
                <c:pt idx="158">
                  <c:v>-0.11922580645160871</c:v>
                </c:pt>
                <c:pt idx="159">
                  <c:v>-0.10929032258064096</c:v>
                </c:pt>
                <c:pt idx="160">
                  <c:v>-9.935483870967321E-2</c:v>
                </c:pt>
                <c:pt idx="161">
                  <c:v>-8.9419354838705459E-2</c:v>
                </c:pt>
                <c:pt idx="162">
                  <c:v>-7.9483870967737708E-2</c:v>
                </c:pt>
                <c:pt idx="163">
                  <c:v>-6.9548387096769956E-2</c:v>
                </c:pt>
                <c:pt idx="164">
                  <c:v>-5.9612903225802205E-2</c:v>
                </c:pt>
                <c:pt idx="165">
                  <c:v>-4.9677419354834454E-2</c:v>
                </c:pt>
                <c:pt idx="166">
                  <c:v>-3.9741935483866703E-2</c:v>
                </c:pt>
                <c:pt idx="167">
                  <c:v>-2.9806451612898955E-2</c:v>
                </c:pt>
                <c:pt idx="168">
                  <c:v>-1.9870967741931204E-2</c:v>
                </c:pt>
                <c:pt idx="169">
                  <c:v>-9.9354838709634543E-3</c:v>
                </c:pt>
                <c:pt idx="170">
                  <c:v>4.2969100499945512E-15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F-4F48-B55E-CC08F4762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961472"/>
        <c:axId val="1203953984"/>
      </c:scatterChart>
      <c:valAx>
        <c:axId val="120396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3953984"/>
        <c:crosses val="autoZero"/>
        <c:crossBetween val="midCat"/>
      </c:valAx>
      <c:valAx>
        <c:axId val="120395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39614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'実験2-SFD図とBMD図の自動作成'!$J$58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'実験2-SFD図とBMD図の自動作成'!$I$59:$I$229</c:f>
              <c:numCache>
                <c:formatCode>General</c:formatCode>
                <c:ptCount val="17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2.0000000000000004E-2</c:v>
                </c:pt>
                <c:pt idx="12">
                  <c:v>3.0000000000000006E-2</c:v>
                </c:pt>
                <c:pt idx="13">
                  <c:v>4.0000000000000008E-2</c:v>
                </c:pt>
                <c:pt idx="14">
                  <c:v>5.000000000000001E-2</c:v>
                </c:pt>
                <c:pt idx="15">
                  <c:v>6.0000000000000012E-2</c:v>
                </c:pt>
                <c:pt idx="16">
                  <c:v>7.0000000000000007E-2</c:v>
                </c:pt>
                <c:pt idx="17">
                  <c:v>0.08</c:v>
                </c:pt>
                <c:pt idx="18">
                  <c:v>0.09</c:v>
                </c:pt>
                <c:pt idx="19">
                  <c:v>9.9999999999999992E-2</c:v>
                </c:pt>
                <c:pt idx="20">
                  <c:v>0.10999999999999999</c:v>
                </c:pt>
                <c:pt idx="21">
                  <c:v>0.11099999999999999</c:v>
                </c:pt>
                <c:pt idx="22">
                  <c:v>0.11199999999999999</c:v>
                </c:pt>
                <c:pt idx="23">
                  <c:v>0.11299999999999999</c:v>
                </c:pt>
                <c:pt idx="24">
                  <c:v>0.11399999999999999</c:v>
                </c:pt>
                <c:pt idx="25">
                  <c:v>0.11499999999999999</c:v>
                </c:pt>
                <c:pt idx="26">
                  <c:v>0.11599999999999999</c:v>
                </c:pt>
                <c:pt idx="27">
                  <c:v>0.11699999999999999</c:v>
                </c:pt>
                <c:pt idx="28">
                  <c:v>0.11799999999999999</c:v>
                </c:pt>
                <c:pt idx="29">
                  <c:v>0.11899999999999999</c:v>
                </c:pt>
                <c:pt idx="30">
                  <c:v>0.12</c:v>
                </c:pt>
                <c:pt idx="31">
                  <c:v>0.121</c:v>
                </c:pt>
                <c:pt idx="32">
                  <c:v>0.122</c:v>
                </c:pt>
                <c:pt idx="33">
                  <c:v>0.123</c:v>
                </c:pt>
                <c:pt idx="34">
                  <c:v>0.124</c:v>
                </c:pt>
                <c:pt idx="35">
                  <c:v>0.125</c:v>
                </c:pt>
                <c:pt idx="36">
                  <c:v>0.126</c:v>
                </c:pt>
                <c:pt idx="37">
                  <c:v>0.127</c:v>
                </c:pt>
                <c:pt idx="38">
                  <c:v>0.128</c:v>
                </c:pt>
                <c:pt idx="39">
                  <c:v>0.129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0.15000000000000002</c:v>
                </c:pt>
                <c:pt idx="43">
                  <c:v>0.16000000000000003</c:v>
                </c:pt>
                <c:pt idx="44">
                  <c:v>0.17000000000000004</c:v>
                </c:pt>
                <c:pt idx="45">
                  <c:v>0.18000000000000005</c:v>
                </c:pt>
                <c:pt idx="46">
                  <c:v>0.19000000000000006</c:v>
                </c:pt>
                <c:pt idx="47">
                  <c:v>0.20000000000000007</c:v>
                </c:pt>
                <c:pt idx="48">
                  <c:v>0.21000000000000008</c:v>
                </c:pt>
                <c:pt idx="49">
                  <c:v>0.21100000000000008</c:v>
                </c:pt>
                <c:pt idx="50">
                  <c:v>0.21200000000000008</c:v>
                </c:pt>
                <c:pt idx="51">
                  <c:v>0.21300000000000008</c:v>
                </c:pt>
                <c:pt idx="52">
                  <c:v>0.21400000000000008</c:v>
                </c:pt>
                <c:pt idx="53">
                  <c:v>0.21500000000000008</c:v>
                </c:pt>
                <c:pt idx="54">
                  <c:v>0.21600000000000008</c:v>
                </c:pt>
                <c:pt idx="55">
                  <c:v>0.21700000000000008</c:v>
                </c:pt>
                <c:pt idx="56">
                  <c:v>0.21800000000000008</c:v>
                </c:pt>
                <c:pt idx="57">
                  <c:v>0.21900000000000008</c:v>
                </c:pt>
                <c:pt idx="58">
                  <c:v>0.22000000000000008</c:v>
                </c:pt>
                <c:pt idx="59">
                  <c:v>0.22100000000000009</c:v>
                </c:pt>
                <c:pt idx="60">
                  <c:v>0.22200000000000009</c:v>
                </c:pt>
                <c:pt idx="61">
                  <c:v>0.22300000000000009</c:v>
                </c:pt>
                <c:pt idx="62">
                  <c:v>0.22400000000000009</c:v>
                </c:pt>
                <c:pt idx="63">
                  <c:v>0.22500000000000009</c:v>
                </c:pt>
                <c:pt idx="64">
                  <c:v>0.22600000000000009</c:v>
                </c:pt>
                <c:pt idx="65">
                  <c:v>0.22700000000000009</c:v>
                </c:pt>
                <c:pt idx="66">
                  <c:v>0.22800000000000009</c:v>
                </c:pt>
                <c:pt idx="67">
                  <c:v>0.22900000000000009</c:v>
                </c:pt>
                <c:pt idx="68">
                  <c:v>0.23000000000000009</c:v>
                </c:pt>
                <c:pt idx="69">
                  <c:v>0.2400000000000001</c:v>
                </c:pt>
                <c:pt idx="70">
                  <c:v>0.25000000000000011</c:v>
                </c:pt>
                <c:pt idx="71">
                  <c:v>0.26000000000000012</c:v>
                </c:pt>
                <c:pt idx="72">
                  <c:v>0.27000000000000013</c:v>
                </c:pt>
                <c:pt idx="73">
                  <c:v>0.28000000000000014</c:v>
                </c:pt>
                <c:pt idx="74">
                  <c:v>0.29000000000000015</c:v>
                </c:pt>
                <c:pt idx="75">
                  <c:v>0.30000000000000016</c:v>
                </c:pt>
                <c:pt idx="76">
                  <c:v>0.30100000000000016</c:v>
                </c:pt>
                <c:pt idx="77">
                  <c:v>0.30200000000000016</c:v>
                </c:pt>
                <c:pt idx="78">
                  <c:v>0.30300000000000016</c:v>
                </c:pt>
                <c:pt idx="79">
                  <c:v>0.30400000000000016</c:v>
                </c:pt>
                <c:pt idx="80">
                  <c:v>0.30500000000000016</c:v>
                </c:pt>
                <c:pt idx="81">
                  <c:v>0.30600000000000016</c:v>
                </c:pt>
                <c:pt idx="82">
                  <c:v>0.30700000000000016</c:v>
                </c:pt>
                <c:pt idx="83">
                  <c:v>0.30800000000000016</c:v>
                </c:pt>
                <c:pt idx="84">
                  <c:v>0.30900000000000016</c:v>
                </c:pt>
                <c:pt idx="85">
                  <c:v>0.31000000000000016</c:v>
                </c:pt>
                <c:pt idx="86">
                  <c:v>0.31100000000000017</c:v>
                </c:pt>
                <c:pt idx="87">
                  <c:v>0.31200000000000017</c:v>
                </c:pt>
                <c:pt idx="88">
                  <c:v>0.31300000000000017</c:v>
                </c:pt>
                <c:pt idx="89">
                  <c:v>0.31400000000000017</c:v>
                </c:pt>
                <c:pt idx="90">
                  <c:v>0.31500000000000017</c:v>
                </c:pt>
                <c:pt idx="91">
                  <c:v>0.31600000000000017</c:v>
                </c:pt>
                <c:pt idx="92">
                  <c:v>0.31700000000000017</c:v>
                </c:pt>
                <c:pt idx="93">
                  <c:v>0.31800000000000017</c:v>
                </c:pt>
                <c:pt idx="94">
                  <c:v>0.31900000000000017</c:v>
                </c:pt>
                <c:pt idx="95">
                  <c:v>0.32000000000000017</c:v>
                </c:pt>
                <c:pt idx="96">
                  <c:v>0.32100000000000017</c:v>
                </c:pt>
                <c:pt idx="97">
                  <c:v>0.32200000000000017</c:v>
                </c:pt>
                <c:pt idx="98">
                  <c:v>0.32300000000000018</c:v>
                </c:pt>
                <c:pt idx="99">
                  <c:v>0.32400000000000018</c:v>
                </c:pt>
                <c:pt idx="100">
                  <c:v>0.32500000000000018</c:v>
                </c:pt>
                <c:pt idx="101">
                  <c:v>0.32600000000000018</c:v>
                </c:pt>
                <c:pt idx="102">
                  <c:v>0.32700000000000018</c:v>
                </c:pt>
                <c:pt idx="103">
                  <c:v>0.32800000000000018</c:v>
                </c:pt>
                <c:pt idx="104">
                  <c:v>0.32900000000000018</c:v>
                </c:pt>
                <c:pt idx="105">
                  <c:v>0.33000000000000018</c:v>
                </c:pt>
                <c:pt idx="106">
                  <c:v>0.34000000000000019</c:v>
                </c:pt>
                <c:pt idx="107">
                  <c:v>0.34100000000000019</c:v>
                </c:pt>
                <c:pt idx="108">
                  <c:v>0.34200000000000019</c:v>
                </c:pt>
                <c:pt idx="109">
                  <c:v>0.34300000000000019</c:v>
                </c:pt>
                <c:pt idx="110">
                  <c:v>0.34400000000000019</c:v>
                </c:pt>
                <c:pt idx="111">
                  <c:v>0.3450000000000002</c:v>
                </c:pt>
                <c:pt idx="112">
                  <c:v>0.3460000000000002</c:v>
                </c:pt>
                <c:pt idx="113">
                  <c:v>0.3470000000000002</c:v>
                </c:pt>
                <c:pt idx="114">
                  <c:v>0.3480000000000002</c:v>
                </c:pt>
                <c:pt idx="115">
                  <c:v>0.3490000000000002</c:v>
                </c:pt>
                <c:pt idx="116">
                  <c:v>0.3500000000000002</c:v>
                </c:pt>
                <c:pt idx="117">
                  <c:v>0.3510000000000002</c:v>
                </c:pt>
                <c:pt idx="118">
                  <c:v>0.3520000000000002</c:v>
                </c:pt>
                <c:pt idx="119">
                  <c:v>0.3530000000000002</c:v>
                </c:pt>
                <c:pt idx="120">
                  <c:v>0.3540000000000002</c:v>
                </c:pt>
                <c:pt idx="121">
                  <c:v>0.3550000000000002</c:v>
                </c:pt>
                <c:pt idx="122">
                  <c:v>0.35600000000000021</c:v>
                </c:pt>
                <c:pt idx="123">
                  <c:v>0.35700000000000021</c:v>
                </c:pt>
                <c:pt idx="124">
                  <c:v>0.35800000000000021</c:v>
                </c:pt>
                <c:pt idx="125">
                  <c:v>0.35900000000000021</c:v>
                </c:pt>
                <c:pt idx="126">
                  <c:v>0.36000000000000021</c:v>
                </c:pt>
                <c:pt idx="127">
                  <c:v>0.37000000000000022</c:v>
                </c:pt>
                <c:pt idx="128">
                  <c:v>0.38000000000000023</c:v>
                </c:pt>
                <c:pt idx="129">
                  <c:v>0.39000000000000024</c:v>
                </c:pt>
                <c:pt idx="130">
                  <c:v>0.40000000000000024</c:v>
                </c:pt>
                <c:pt idx="131">
                  <c:v>0.41000000000000025</c:v>
                </c:pt>
                <c:pt idx="132">
                  <c:v>0.42000000000000026</c:v>
                </c:pt>
                <c:pt idx="133">
                  <c:v>0.43000000000000027</c:v>
                </c:pt>
                <c:pt idx="134">
                  <c:v>0.44000000000000028</c:v>
                </c:pt>
                <c:pt idx="135">
                  <c:v>0.45000000000000029</c:v>
                </c:pt>
                <c:pt idx="136">
                  <c:v>0.4600000000000003</c:v>
                </c:pt>
                <c:pt idx="137">
                  <c:v>0.47000000000000031</c:v>
                </c:pt>
                <c:pt idx="138">
                  <c:v>0.48000000000000032</c:v>
                </c:pt>
                <c:pt idx="139">
                  <c:v>0.49000000000000032</c:v>
                </c:pt>
                <c:pt idx="140">
                  <c:v>0.50000000000000033</c:v>
                </c:pt>
                <c:pt idx="141">
                  <c:v>0.51000000000000034</c:v>
                </c:pt>
                <c:pt idx="142">
                  <c:v>0.52000000000000035</c:v>
                </c:pt>
                <c:pt idx="143">
                  <c:v>0.53000000000000036</c:v>
                </c:pt>
                <c:pt idx="144">
                  <c:v>0.54000000000000037</c:v>
                </c:pt>
                <c:pt idx="145">
                  <c:v>0.55000000000000038</c:v>
                </c:pt>
                <c:pt idx="146">
                  <c:v>0.56000000000000039</c:v>
                </c:pt>
                <c:pt idx="147">
                  <c:v>0.5700000000000004</c:v>
                </c:pt>
                <c:pt idx="148">
                  <c:v>0.5800000000000004</c:v>
                </c:pt>
                <c:pt idx="149">
                  <c:v>0.59000000000000041</c:v>
                </c:pt>
                <c:pt idx="150">
                  <c:v>0.60000000000000042</c:v>
                </c:pt>
                <c:pt idx="151">
                  <c:v>0.60100000000000042</c:v>
                </c:pt>
                <c:pt idx="152">
                  <c:v>0.60200000000000042</c:v>
                </c:pt>
                <c:pt idx="153">
                  <c:v>0.60300000000000042</c:v>
                </c:pt>
                <c:pt idx="154">
                  <c:v>0.60400000000000043</c:v>
                </c:pt>
                <c:pt idx="155">
                  <c:v>0.60500000000000043</c:v>
                </c:pt>
                <c:pt idx="156">
                  <c:v>0.60600000000000043</c:v>
                </c:pt>
                <c:pt idx="157">
                  <c:v>0.60700000000000043</c:v>
                </c:pt>
                <c:pt idx="158">
                  <c:v>0.60800000000000043</c:v>
                </c:pt>
                <c:pt idx="159">
                  <c:v>0.60900000000000043</c:v>
                </c:pt>
                <c:pt idx="160">
                  <c:v>0.61000000000000043</c:v>
                </c:pt>
                <c:pt idx="161">
                  <c:v>0.61100000000000043</c:v>
                </c:pt>
                <c:pt idx="162">
                  <c:v>0.61200000000000043</c:v>
                </c:pt>
                <c:pt idx="163">
                  <c:v>0.61300000000000043</c:v>
                </c:pt>
                <c:pt idx="164">
                  <c:v>0.61400000000000043</c:v>
                </c:pt>
                <c:pt idx="165">
                  <c:v>0.61500000000000044</c:v>
                </c:pt>
                <c:pt idx="166">
                  <c:v>0.61600000000000044</c:v>
                </c:pt>
                <c:pt idx="167">
                  <c:v>0.61700000000000044</c:v>
                </c:pt>
                <c:pt idx="168">
                  <c:v>0.61800000000000044</c:v>
                </c:pt>
                <c:pt idx="169">
                  <c:v>0.61900000000000044</c:v>
                </c:pt>
                <c:pt idx="170">
                  <c:v>0.62000000000000044</c:v>
                </c:pt>
              </c:numCache>
            </c:numRef>
          </c:xVal>
          <c:yVal>
            <c:numRef>
              <c:f>'実験2-SFD図とBMD図の自動作成'!$J$59:$J$229</c:f>
              <c:numCache>
                <c:formatCode>General</c:formatCode>
                <c:ptCount val="171"/>
                <c:pt idx="0">
                  <c:v>0</c:v>
                </c:pt>
                <c:pt idx="1">
                  <c:v>-7.6645161290322594</c:v>
                </c:pt>
                <c:pt idx="2">
                  <c:v>-7.6645161290322594</c:v>
                </c:pt>
                <c:pt idx="3">
                  <c:v>-7.6645161290322594</c:v>
                </c:pt>
                <c:pt idx="4">
                  <c:v>-7.6645161290322594</c:v>
                </c:pt>
                <c:pt idx="5">
                  <c:v>-7.6645161290322594</c:v>
                </c:pt>
                <c:pt idx="6">
                  <c:v>-7.6645161290322594</c:v>
                </c:pt>
                <c:pt idx="7">
                  <c:v>-7.6645161290322594</c:v>
                </c:pt>
                <c:pt idx="8">
                  <c:v>-7.6645161290322594</c:v>
                </c:pt>
                <c:pt idx="9">
                  <c:v>-7.6645161290322594</c:v>
                </c:pt>
                <c:pt idx="10">
                  <c:v>-7.6645161290322594</c:v>
                </c:pt>
                <c:pt idx="11">
                  <c:v>-7.6645161290322594</c:v>
                </c:pt>
                <c:pt idx="12">
                  <c:v>-7.6645161290322594</c:v>
                </c:pt>
                <c:pt idx="13">
                  <c:v>-7.6645161290322594</c:v>
                </c:pt>
                <c:pt idx="14">
                  <c:v>-7.6645161290322594</c:v>
                </c:pt>
                <c:pt idx="15">
                  <c:v>-7.6645161290322594</c:v>
                </c:pt>
                <c:pt idx="16">
                  <c:v>-7.6645161290322594</c:v>
                </c:pt>
                <c:pt idx="17">
                  <c:v>-7.6645161290322594</c:v>
                </c:pt>
                <c:pt idx="18">
                  <c:v>-7.6645161290322594</c:v>
                </c:pt>
                <c:pt idx="19">
                  <c:v>-7.6645161290322594</c:v>
                </c:pt>
                <c:pt idx="20">
                  <c:v>-7.6645161290322594</c:v>
                </c:pt>
                <c:pt idx="21">
                  <c:v>-7.6645161290322594</c:v>
                </c:pt>
                <c:pt idx="22">
                  <c:v>-7.6645161290322594</c:v>
                </c:pt>
                <c:pt idx="23">
                  <c:v>-7.6645161290322594</c:v>
                </c:pt>
                <c:pt idx="24">
                  <c:v>-7.6645161290322594</c:v>
                </c:pt>
                <c:pt idx="25">
                  <c:v>-7.6645161290322594</c:v>
                </c:pt>
                <c:pt idx="26">
                  <c:v>-7.6645161290322594</c:v>
                </c:pt>
                <c:pt idx="27">
                  <c:v>-7.6645161290322594</c:v>
                </c:pt>
                <c:pt idx="28">
                  <c:v>-7.6645161290322594</c:v>
                </c:pt>
                <c:pt idx="29">
                  <c:v>-7.6645161290322594</c:v>
                </c:pt>
                <c:pt idx="30">
                  <c:v>-7.6645161290322594</c:v>
                </c:pt>
                <c:pt idx="31">
                  <c:v>-7.6645161290322594</c:v>
                </c:pt>
                <c:pt idx="32">
                  <c:v>-7.6645161290322594</c:v>
                </c:pt>
                <c:pt idx="33">
                  <c:v>-7.6645161290322594</c:v>
                </c:pt>
                <c:pt idx="34">
                  <c:v>-7.6645161290322594</c:v>
                </c:pt>
                <c:pt idx="35">
                  <c:v>-7.6645161290322594</c:v>
                </c:pt>
                <c:pt idx="36">
                  <c:v>-7.6645161290322594</c:v>
                </c:pt>
                <c:pt idx="37">
                  <c:v>-7.6645161290322594</c:v>
                </c:pt>
                <c:pt idx="38">
                  <c:v>-7.6645161290322594</c:v>
                </c:pt>
                <c:pt idx="39">
                  <c:v>-7.6645161290322594</c:v>
                </c:pt>
                <c:pt idx="40">
                  <c:v>-7.6645161290322594</c:v>
                </c:pt>
                <c:pt idx="41">
                  <c:v>-7.6645161290322594</c:v>
                </c:pt>
                <c:pt idx="42">
                  <c:v>-7.6645161290322594</c:v>
                </c:pt>
                <c:pt idx="43">
                  <c:v>-7.6645161290322594</c:v>
                </c:pt>
                <c:pt idx="44">
                  <c:v>-7.6645161290322594</c:v>
                </c:pt>
                <c:pt idx="45">
                  <c:v>-7.6645161290322594</c:v>
                </c:pt>
                <c:pt idx="46">
                  <c:v>-7.6645161290322594</c:v>
                </c:pt>
                <c:pt idx="47">
                  <c:v>-7.6645161290322594</c:v>
                </c:pt>
                <c:pt idx="48">
                  <c:v>-7.6645161290322594</c:v>
                </c:pt>
                <c:pt idx="49">
                  <c:v>-7.6645161290322594</c:v>
                </c:pt>
                <c:pt idx="50">
                  <c:v>-7.6645161290322594</c:v>
                </c:pt>
                <c:pt idx="51">
                  <c:v>-7.6645161290322594</c:v>
                </c:pt>
                <c:pt idx="52">
                  <c:v>-7.6645161290322594</c:v>
                </c:pt>
                <c:pt idx="53">
                  <c:v>-7.6645161290322594</c:v>
                </c:pt>
                <c:pt idx="54">
                  <c:v>-7.6645161290322594</c:v>
                </c:pt>
                <c:pt idx="55">
                  <c:v>-7.6645161290322594</c:v>
                </c:pt>
                <c:pt idx="56">
                  <c:v>-7.6645161290322594</c:v>
                </c:pt>
                <c:pt idx="57">
                  <c:v>-7.6645161290322594</c:v>
                </c:pt>
                <c:pt idx="58">
                  <c:v>-7.6645161290322594</c:v>
                </c:pt>
                <c:pt idx="59">
                  <c:v>-7.6645161290322594</c:v>
                </c:pt>
                <c:pt idx="60">
                  <c:v>-7.6645161290322594</c:v>
                </c:pt>
                <c:pt idx="61">
                  <c:v>-7.6645161290322594</c:v>
                </c:pt>
                <c:pt idx="62">
                  <c:v>-7.6645161290322594</c:v>
                </c:pt>
                <c:pt idx="63">
                  <c:v>-7.6645161290322594</c:v>
                </c:pt>
                <c:pt idx="64">
                  <c:v>-7.6645161290322594</c:v>
                </c:pt>
                <c:pt idx="65">
                  <c:v>-7.6645161290322594</c:v>
                </c:pt>
                <c:pt idx="66">
                  <c:v>-7.6645161290322594</c:v>
                </c:pt>
                <c:pt idx="67">
                  <c:v>-7.6645161290322594</c:v>
                </c:pt>
                <c:pt idx="68">
                  <c:v>-7.6645161290322594</c:v>
                </c:pt>
                <c:pt idx="69">
                  <c:v>-7.6645161290322594</c:v>
                </c:pt>
                <c:pt idx="70">
                  <c:v>-7.6645161290322594</c:v>
                </c:pt>
                <c:pt idx="71">
                  <c:v>-7.6645161290322594</c:v>
                </c:pt>
                <c:pt idx="72">
                  <c:v>-7.6645161290322594</c:v>
                </c:pt>
                <c:pt idx="73">
                  <c:v>-7.6645161290322594</c:v>
                </c:pt>
                <c:pt idx="74">
                  <c:v>-7.6645161290322594</c:v>
                </c:pt>
                <c:pt idx="75">
                  <c:v>-7.6645161290322594</c:v>
                </c:pt>
                <c:pt idx="76">
                  <c:v>-7.6645161290322594</c:v>
                </c:pt>
                <c:pt idx="77">
                  <c:v>-7.6645161290322594</c:v>
                </c:pt>
                <c:pt idx="78">
                  <c:v>-7.6645161290322594</c:v>
                </c:pt>
                <c:pt idx="79">
                  <c:v>-7.6645161290322594</c:v>
                </c:pt>
                <c:pt idx="80">
                  <c:v>-7.6645161290322594</c:v>
                </c:pt>
                <c:pt idx="81">
                  <c:v>-7.6645161290322594</c:v>
                </c:pt>
                <c:pt idx="82">
                  <c:v>-7.6645161290322594</c:v>
                </c:pt>
                <c:pt idx="83">
                  <c:v>-7.6645161290322594</c:v>
                </c:pt>
                <c:pt idx="84">
                  <c:v>-7.6645161290322594</c:v>
                </c:pt>
                <c:pt idx="85">
                  <c:v>-7.6645161290322594</c:v>
                </c:pt>
                <c:pt idx="86">
                  <c:v>-7.6645161290322594</c:v>
                </c:pt>
                <c:pt idx="87">
                  <c:v>-7.6645161290322594</c:v>
                </c:pt>
                <c:pt idx="88">
                  <c:v>-7.6645161290322594</c:v>
                </c:pt>
                <c:pt idx="89">
                  <c:v>-7.6645161290322594</c:v>
                </c:pt>
                <c:pt idx="90">
                  <c:v>-7.6645161290322594</c:v>
                </c:pt>
                <c:pt idx="91">
                  <c:v>-7.6645161290322594</c:v>
                </c:pt>
                <c:pt idx="92">
                  <c:v>-7.6645161290322594</c:v>
                </c:pt>
                <c:pt idx="93">
                  <c:v>-7.6645161290322594</c:v>
                </c:pt>
                <c:pt idx="94">
                  <c:v>-7.6645161290322594</c:v>
                </c:pt>
                <c:pt idx="95">
                  <c:v>-7.6645161290322594</c:v>
                </c:pt>
                <c:pt idx="96">
                  <c:v>-7.6645161290322594</c:v>
                </c:pt>
                <c:pt idx="97">
                  <c:v>-7.6645161290322594</c:v>
                </c:pt>
                <c:pt idx="98">
                  <c:v>-7.6645161290322594</c:v>
                </c:pt>
                <c:pt idx="99">
                  <c:v>-7.6645161290322594</c:v>
                </c:pt>
                <c:pt idx="100">
                  <c:v>-7.6645161290322594</c:v>
                </c:pt>
                <c:pt idx="101">
                  <c:v>-7.6645161290322594</c:v>
                </c:pt>
                <c:pt idx="102">
                  <c:v>-7.6645161290322594</c:v>
                </c:pt>
                <c:pt idx="103">
                  <c:v>-7.6645161290322594</c:v>
                </c:pt>
                <c:pt idx="104">
                  <c:v>-7.6645161290322594</c:v>
                </c:pt>
                <c:pt idx="105">
                  <c:v>-7.6645161290322594</c:v>
                </c:pt>
                <c:pt idx="106">
                  <c:v>-7.6645161290322594</c:v>
                </c:pt>
                <c:pt idx="107">
                  <c:v>-7.6645161290322594</c:v>
                </c:pt>
                <c:pt idx="108">
                  <c:v>-7.6645161290322594</c:v>
                </c:pt>
                <c:pt idx="109">
                  <c:v>-7.6645161290322594</c:v>
                </c:pt>
                <c:pt idx="110">
                  <c:v>-7.6645161290322594</c:v>
                </c:pt>
                <c:pt idx="111">
                  <c:v>-7.6645161290322594</c:v>
                </c:pt>
                <c:pt idx="112">
                  <c:v>-7.6645161290322594</c:v>
                </c:pt>
                <c:pt idx="113">
                  <c:v>-7.6645161290322594</c:v>
                </c:pt>
                <c:pt idx="114">
                  <c:v>-7.6645161290322594</c:v>
                </c:pt>
                <c:pt idx="115">
                  <c:v>-7.6645161290322594</c:v>
                </c:pt>
                <c:pt idx="116">
                  <c:v>9.935483870967742</c:v>
                </c:pt>
                <c:pt idx="117">
                  <c:v>9.935483870967742</c:v>
                </c:pt>
                <c:pt idx="118">
                  <c:v>9.935483870967742</c:v>
                </c:pt>
                <c:pt idx="119">
                  <c:v>9.935483870967742</c:v>
                </c:pt>
                <c:pt idx="120">
                  <c:v>9.935483870967742</c:v>
                </c:pt>
                <c:pt idx="121">
                  <c:v>9.935483870967742</c:v>
                </c:pt>
                <c:pt idx="122">
                  <c:v>9.935483870967742</c:v>
                </c:pt>
                <c:pt idx="123">
                  <c:v>9.935483870967742</c:v>
                </c:pt>
                <c:pt idx="124">
                  <c:v>9.935483870967742</c:v>
                </c:pt>
                <c:pt idx="125">
                  <c:v>9.935483870967742</c:v>
                </c:pt>
                <c:pt idx="126">
                  <c:v>9.935483870967742</c:v>
                </c:pt>
                <c:pt idx="127">
                  <c:v>9.935483870967742</c:v>
                </c:pt>
                <c:pt idx="128">
                  <c:v>9.935483870967742</c:v>
                </c:pt>
                <c:pt idx="129">
                  <c:v>9.935483870967742</c:v>
                </c:pt>
                <c:pt idx="130">
                  <c:v>9.935483870967742</c:v>
                </c:pt>
                <c:pt idx="131">
                  <c:v>9.935483870967742</c:v>
                </c:pt>
                <c:pt idx="132">
                  <c:v>9.935483870967742</c:v>
                </c:pt>
                <c:pt idx="133">
                  <c:v>9.935483870967742</c:v>
                </c:pt>
                <c:pt idx="134">
                  <c:v>9.935483870967742</c:v>
                </c:pt>
                <c:pt idx="135">
                  <c:v>9.935483870967742</c:v>
                </c:pt>
                <c:pt idx="136">
                  <c:v>9.935483870967742</c:v>
                </c:pt>
                <c:pt idx="137">
                  <c:v>9.935483870967742</c:v>
                </c:pt>
                <c:pt idx="138">
                  <c:v>9.935483870967742</c:v>
                </c:pt>
                <c:pt idx="139">
                  <c:v>9.935483870967742</c:v>
                </c:pt>
                <c:pt idx="140">
                  <c:v>9.935483870967742</c:v>
                </c:pt>
                <c:pt idx="141">
                  <c:v>9.935483870967742</c:v>
                </c:pt>
                <c:pt idx="142">
                  <c:v>9.935483870967742</c:v>
                </c:pt>
                <c:pt idx="143">
                  <c:v>9.935483870967742</c:v>
                </c:pt>
                <c:pt idx="144">
                  <c:v>9.935483870967742</c:v>
                </c:pt>
                <c:pt idx="145">
                  <c:v>9.935483870967742</c:v>
                </c:pt>
                <c:pt idx="146">
                  <c:v>9.935483870967742</c:v>
                </c:pt>
                <c:pt idx="147">
                  <c:v>9.935483870967742</c:v>
                </c:pt>
                <c:pt idx="148">
                  <c:v>9.935483870967742</c:v>
                </c:pt>
                <c:pt idx="149">
                  <c:v>9.935483870967742</c:v>
                </c:pt>
                <c:pt idx="150">
                  <c:v>9.935483870967742</c:v>
                </c:pt>
                <c:pt idx="151">
                  <c:v>9.935483870967742</c:v>
                </c:pt>
                <c:pt idx="152">
                  <c:v>9.935483870967742</c:v>
                </c:pt>
                <c:pt idx="153">
                  <c:v>9.935483870967742</c:v>
                </c:pt>
                <c:pt idx="154">
                  <c:v>9.935483870967742</c:v>
                </c:pt>
                <c:pt idx="155">
                  <c:v>9.935483870967742</c:v>
                </c:pt>
                <c:pt idx="156">
                  <c:v>9.935483870967742</c:v>
                </c:pt>
                <c:pt idx="157">
                  <c:v>9.935483870967742</c:v>
                </c:pt>
                <c:pt idx="158">
                  <c:v>9.935483870967742</c:v>
                </c:pt>
                <c:pt idx="159">
                  <c:v>9.935483870967742</c:v>
                </c:pt>
                <c:pt idx="160">
                  <c:v>9.935483870967742</c:v>
                </c:pt>
                <c:pt idx="161">
                  <c:v>9.935483870967742</c:v>
                </c:pt>
                <c:pt idx="162">
                  <c:v>9.935483870967742</c:v>
                </c:pt>
                <c:pt idx="163">
                  <c:v>9.935483870967742</c:v>
                </c:pt>
                <c:pt idx="164">
                  <c:v>9.935483870967742</c:v>
                </c:pt>
                <c:pt idx="165">
                  <c:v>9.935483870967742</c:v>
                </c:pt>
                <c:pt idx="166">
                  <c:v>9.935483870967742</c:v>
                </c:pt>
                <c:pt idx="167">
                  <c:v>9.935483870967742</c:v>
                </c:pt>
                <c:pt idx="168">
                  <c:v>9.935483870967742</c:v>
                </c:pt>
                <c:pt idx="169">
                  <c:v>9.935483870967742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1-4ACB-A4CD-78677796C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806752"/>
        <c:axId val="1202810080"/>
      </c:scatterChart>
      <c:valAx>
        <c:axId val="120280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2810080"/>
        <c:crosses val="autoZero"/>
        <c:crossBetween val="midCat"/>
      </c:valAx>
      <c:valAx>
        <c:axId val="120281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2806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'実験2-SFD図とBMD図の自動作成'!$L$58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'実験2-SFD図とBMD図の自動作成'!$K$59:$K$229</c:f>
              <c:numCache>
                <c:formatCode>General</c:formatCode>
                <c:ptCount val="17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2.0000000000000004E-2</c:v>
                </c:pt>
                <c:pt idx="12">
                  <c:v>3.0000000000000006E-2</c:v>
                </c:pt>
                <c:pt idx="13">
                  <c:v>4.0000000000000008E-2</c:v>
                </c:pt>
                <c:pt idx="14">
                  <c:v>5.000000000000001E-2</c:v>
                </c:pt>
                <c:pt idx="15">
                  <c:v>6.0000000000000012E-2</c:v>
                </c:pt>
                <c:pt idx="16">
                  <c:v>7.0000000000000007E-2</c:v>
                </c:pt>
                <c:pt idx="17">
                  <c:v>0.08</c:v>
                </c:pt>
                <c:pt idx="18">
                  <c:v>0.09</c:v>
                </c:pt>
                <c:pt idx="19">
                  <c:v>9.9999999999999992E-2</c:v>
                </c:pt>
                <c:pt idx="20">
                  <c:v>0.10999999999999999</c:v>
                </c:pt>
                <c:pt idx="21">
                  <c:v>0.11099999999999999</c:v>
                </c:pt>
                <c:pt idx="22">
                  <c:v>0.11199999999999999</c:v>
                </c:pt>
                <c:pt idx="23">
                  <c:v>0.11299999999999999</c:v>
                </c:pt>
                <c:pt idx="24">
                  <c:v>0.11399999999999999</c:v>
                </c:pt>
                <c:pt idx="25">
                  <c:v>0.11499999999999999</c:v>
                </c:pt>
                <c:pt idx="26">
                  <c:v>0.11599999999999999</c:v>
                </c:pt>
                <c:pt idx="27">
                  <c:v>0.11699999999999999</c:v>
                </c:pt>
                <c:pt idx="28">
                  <c:v>0.11799999999999999</c:v>
                </c:pt>
                <c:pt idx="29">
                  <c:v>0.11899999999999999</c:v>
                </c:pt>
                <c:pt idx="30">
                  <c:v>0.12</c:v>
                </c:pt>
                <c:pt idx="31">
                  <c:v>0.121</c:v>
                </c:pt>
                <c:pt idx="32">
                  <c:v>0.122</c:v>
                </c:pt>
                <c:pt idx="33">
                  <c:v>0.123</c:v>
                </c:pt>
                <c:pt idx="34">
                  <c:v>0.124</c:v>
                </c:pt>
                <c:pt idx="35">
                  <c:v>0.125</c:v>
                </c:pt>
                <c:pt idx="36">
                  <c:v>0.126</c:v>
                </c:pt>
                <c:pt idx="37">
                  <c:v>0.127</c:v>
                </c:pt>
                <c:pt idx="38">
                  <c:v>0.128</c:v>
                </c:pt>
                <c:pt idx="39">
                  <c:v>0.129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0.15000000000000002</c:v>
                </c:pt>
                <c:pt idx="43">
                  <c:v>0.16000000000000003</c:v>
                </c:pt>
                <c:pt idx="44">
                  <c:v>0.17000000000000004</c:v>
                </c:pt>
                <c:pt idx="45">
                  <c:v>0.18000000000000005</c:v>
                </c:pt>
                <c:pt idx="46">
                  <c:v>0.19000000000000006</c:v>
                </c:pt>
                <c:pt idx="47">
                  <c:v>0.20000000000000007</c:v>
                </c:pt>
                <c:pt idx="48">
                  <c:v>0.21000000000000008</c:v>
                </c:pt>
                <c:pt idx="49">
                  <c:v>0.21100000000000008</c:v>
                </c:pt>
                <c:pt idx="50">
                  <c:v>0.21200000000000008</c:v>
                </c:pt>
                <c:pt idx="51">
                  <c:v>0.21300000000000008</c:v>
                </c:pt>
                <c:pt idx="52">
                  <c:v>0.21400000000000008</c:v>
                </c:pt>
                <c:pt idx="53">
                  <c:v>0.21500000000000008</c:v>
                </c:pt>
                <c:pt idx="54">
                  <c:v>0.21600000000000008</c:v>
                </c:pt>
                <c:pt idx="55">
                  <c:v>0.21700000000000008</c:v>
                </c:pt>
                <c:pt idx="56">
                  <c:v>0.21800000000000008</c:v>
                </c:pt>
                <c:pt idx="57">
                  <c:v>0.21900000000000008</c:v>
                </c:pt>
                <c:pt idx="58">
                  <c:v>0.22000000000000008</c:v>
                </c:pt>
                <c:pt idx="59">
                  <c:v>0.22100000000000009</c:v>
                </c:pt>
                <c:pt idx="60">
                  <c:v>0.22200000000000009</c:v>
                </c:pt>
                <c:pt idx="61">
                  <c:v>0.22300000000000009</c:v>
                </c:pt>
                <c:pt idx="62">
                  <c:v>0.22400000000000009</c:v>
                </c:pt>
                <c:pt idx="63">
                  <c:v>0.22500000000000009</c:v>
                </c:pt>
                <c:pt idx="64">
                  <c:v>0.22600000000000009</c:v>
                </c:pt>
                <c:pt idx="65">
                  <c:v>0.22700000000000009</c:v>
                </c:pt>
                <c:pt idx="66">
                  <c:v>0.22800000000000009</c:v>
                </c:pt>
                <c:pt idx="67">
                  <c:v>0.22900000000000009</c:v>
                </c:pt>
                <c:pt idx="68">
                  <c:v>0.23000000000000009</c:v>
                </c:pt>
                <c:pt idx="69">
                  <c:v>0.2400000000000001</c:v>
                </c:pt>
                <c:pt idx="70">
                  <c:v>0.25000000000000011</c:v>
                </c:pt>
                <c:pt idx="71">
                  <c:v>0.26000000000000012</c:v>
                </c:pt>
                <c:pt idx="72">
                  <c:v>0.27000000000000013</c:v>
                </c:pt>
                <c:pt idx="73">
                  <c:v>0.28000000000000014</c:v>
                </c:pt>
                <c:pt idx="74">
                  <c:v>0.29000000000000015</c:v>
                </c:pt>
                <c:pt idx="75">
                  <c:v>0.30000000000000016</c:v>
                </c:pt>
                <c:pt idx="76">
                  <c:v>0.30100000000000016</c:v>
                </c:pt>
                <c:pt idx="77">
                  <c:v>0.30200000000000016</c:v>
                </c:pt>
                <c:pt idx="78">
                  <c:v>0.30300000000000016</c:v>
                </c:pt>
                <c:pt idx="79">
                  <c:v>0.30400000000000016</c:v>
                </c:pt>
                <c:pt idx="80">
                  <c:v>0.30500000000000016</c:v>
                </c:pt>
                <c:pt idx="81">
                  <c:v>0.30600000000000016</c:v>
                </c:pt>
                <c:pt idx="82">
                  <c:v>0.30700000000000016</c:v>
                </c:pt>
                <c:pt idx="83">
                  <c:v>0.30800000000000016</c:v>
                </c:pt>
                <c:pt idx="84">
                  <c:v>0.30900000000000016</c:v>
                </c:pt>
                <c:pt idx="85">
                  <c:v>0.31000000000000016</c:v>
                </c:pt>
                <c:pt idx="86">
                  <c:v>0.31100000000000017</c:v>
                </c:pt>
                <c:pt idx="87">
                  <c:v>0.31200000000000017</c:v>
                </c:pt>
                <c:pt idx="88">
                  <c:v>0.31300000000000017</c:v>
                </c:pt>
                <c:pt idx="89">
                  <c:v>0.31400000000000017</c:v>
                </c:pt>
                <c:pt idx="90">
                  <c:v>0.31500000000000017</c:v>
                </c:pt>
                <c:pt idx="91">
                  <c:v>0.31600000000000017</c:v>
                </c:pt>
                <c:pt idx="92">
                  <c:v>0.31700000000000017</c:v>
                </c:pt>
                <c:pt idx="93">
                  <c:v>0.31800000000000017</c:v>
                </c:pt>
                <c:pt idx="94">
                  <c:v>0.31900000000000017</c:v>
                </c:pt>
                <c:pt idx="95">
                  <c:v>0.32000000000000017</c:v>
                </c:pt>
                <c:pt idx="96">
                  <c:v>0.32100000000000017</c:v>
                </c:pt>
                <c:pt idx="97">
                  <c:v>0.32200000000000017</c:v>
                </c:pt>
                <c:pt idx="98">
                  <c:v>0.32300000000000018</c:v>
                </c:pt>
                <c:pt idx="99">
                  <c:v>0.32400000000000018</c:v>
                </c:pt>
                <c:pt idx="100">
                  <c:v>0.32500000000000018</c:v>
                </c:pt>
                <c:pt idx="101">
                  <c:v>0.32600000000000018</c:v>
                </c:pt>
                <c:pt idx="102">
                  <c:v>0.32700000000000018</c:v>
                </c:pt>
                <c:pt idx="103">
                  <c:v>0.32800000000000018</c:v>
                </c:pt>
                <c:pt idx="104">
                  <c:v>0.32900000000000018</c:v>
                </c:pt>
                <c:pt idx="105">
                  <c:v>0.33000000000000018</c:v>
                </c:pt>
                <c:pt idx="106">
                  <c:v>0.34000000000000019</c:v>
                </c:pt>
                <c:pt idx="107">
                  <c:v>0.34100000000000019</c:v>
                </c:pt>
                <c:pt idx="108">
                  <c:v>0.34200000000000019</c:v>
                </c:pt>
                <c:pt idx="109">
                  <c:v>0.34300000000000019</c:v>
                </c:pt>
                <c:pt idx="110">
                  <c:v>0.34400000000000019</c:v>
                </c:pt>
                <c:pt idx="111">
                  <c:v>0.3450000000000002</c:v>
                </c:pt>
                <c:pt idx="112">
                  <c:v>0.3460000000000002</c:v>
                </c:pt>
                <c:pt idx="113">
                  <c:v>0.3470000000000002</c:v>
                </c:pt>
                <c:pt idx="114">
                  <c:v>0.3480000000000002</c:v>
                </c:pt>
                <c:pt idx="115">
                  <c:v>0.3490000000000002</c:v>
                </c:pt>
                <c:pt idx="116">
                  <c:v>0.3500000000000002</c:v>
                </c:pt>
                <c:pt idx="117">
                  <c:v>0.3510000000000002</c:v>
                </c:pt>
                <c:pt idx="118">
                  <c:v>0.3520000000000002</c:v>
                </c:pt>
                <c:pt idx="119">
                  <c:v>0.3530000000000002</c:v>
                </c:pt>
                <c:pt idx="120">
                  <c:v>0.3540000000000002</c:v>
                </c:pt>
                <c:pt idx="121">
                  <c:v>0.3550000000000002</c:v>
                </c:pt>
                <c:pt idx="122">
                  <c:v>0.35600000000000021</c:v>
                </c:pt>
                <c:pt idx="123">
                  <c:v>0.35700000000000021</c:v>
                </c:pt>
                <c:pt idx="124">
                  <c:v>0.35800000000000021</c:v>
                </c:pt>
                <c:pt idx="125">
                  <c:v>0.35900000000000021</c:v>
                </c:pt>
                <c:pt idx="126">
                  <c:v>0.36000000000000021</c:v>
                </c:pt>
                <c:pt idx="127">
                  <c:v>0.37000000000000022</c:v>
                </c:pt>
                <c:pt idx="128">
                  <c:v>0.38000000000000023</c:v>
                </c:pt>
                <c:pt idx="129">
                  <c:v>0.39000000000000024</c:v>
                </c:pt>
                <c:pt idx="130">
                  <c:v>0.40000000000000024</c:v>
                </c:pt>
                <c:pt idx="131">
                  <c:v>0.41000000000000025</c:v>
                </c:pt>
                <c:pt idx="132">
                  <c:v>0.42000000000000026</c:v>
                </c:pt>
                <c:pt idx="133">
                  <c:v>0.43000000000000027</c:v>
                </c:pt>
                <c:pt idx="134">
                  <c:v>0.44000000000000028</c:v>
                </c:pt>
                <c:pt idx="135">
                  <c:v>0.45000000000000029</c:v>
                </c:pt>
                <c:pt idx="136">
                  <c:v>0.4600000000000003</c:v>
                </c:pt>
                <c:pt idx="137">
                  <c:v>0.47000000000000031</c:v>
                </c:pt>
                <c:pt idx="138">
                  <c:v>0.48000000000000032</c:v>
                </c:pt>
                <c:pt idx="139">
                  <c:v>0.49000000000000032</c:v>
                </c:pt>
                <c:pt idx="140">
                  <c:v>0.50000000000000033</c:v>
                </c:pt>
                <c:pt idx="141">
                  <c:v>0.51000000000000034</c:v>
                </c:pt>
                <c:pt idx="142">
                  <c:v>0.52000000000000035</c:v>
                </c:pt>
                <c:pt idx="143">
                  <c:v>0.53000000000000036</c:v>
                </c:pt>
                <c:pt idx="144">
                  <c:v>0.54000000000000037</c:v>
                </c:pt>
                <c:pt idx="145">
                  <c:v>0.55000000000000038</c:v>
                </c:pt>
                <c:pt idx="146">
                  <c:v>0.56000000000000039</c:v>
                </c:pt>
                <c:pt idx="147">
                  <c:v>0.5700000000000004</c:v>
                </c:pt>
                <c:pt idx="148">
                  <c:v>0.5800000000000004</c:v>
                </c:pt>
                <c:pt idx="149">
                  <c:v>0.59000000000000041</c:v>
                </c:pt>
                <c:pt idx="150">
                  <c:v>0.60000000000000042</c:v>
                </c:pt>
                <c:pt idx="151">
                  <c:v>0.60100000000000042</c:v>
                </c:pt>
                <c:pt idx="152">
                  <c:v>0.60200000000000042</c:v>
                </c:pt>
                <c:pt idx="153">
                  <c:v>0.60300000000000042</c:v>
                </c:pt>
                <c:pt idx="154">
                  <c:v>0.60400000000000043</c:v>
                </c:pt>
                <c:pt idx="155">
                  <c:v>0.60500000000000043</c:v>
                </c:pt>
                <c:pt idx="156">
                  <c:v>0.60600000000000043</c:v>
                </c:pt>
                <c:pt idx="157">
                  <c:v>0.60700000000000043</c:v>
                </c:pt>
                <c:pt idx="158">
                  <c:v>0.60800000000000043</c:v>
                </c:pt>
                <c:pt idx="159">
                  <c:v>0.60900000000000043</c:v>
                </c:pt>
                <c:pt idx="160">
                  <c:v>0.61000000000000043</c:v>
                </c:pt>
                <c:pt idx="161">
                  <c:v>0.61100000000000043</c:v>
                </c:pt>
                <c:pt idx="162">
                  <c:v>0.61200000000000043</c:v>
                </c:pt>
                <c:pt idx="163">
                  <c:v>0.61300000000000043</c:v>
                </c:pt>
                <c:pt idx="164">
                  <c:v>0.61400000000000043</c:v>
                </c:pt>
                <c:pt idx="165">
                  <c:v>0.61500000000000044</c:v>
                </c:pt>
                <c:pt idx="166">
                  <c:v>0.61600000000000044</c:v>
                </c:pt>
                <c:pt idx="167">
                  <c:v>0.61700000000000044</c:v>
                </c:pt>
                <c:pt idx="168">
                  <c:v>0.61800000000000044</c:v>
                </c:pt>
                <c:pt idx="169">
                  <c:v>0.61900000000000044</c:v>
                </c:pt>
                <c:pt idx="170">
                  <c:v>0.62000000000000044</c:v>
                </c:pt>
              </c:numCache>
            </c:numRef>
          </c:xVal>
          <c:yVal>
            <c:numRef>
              <c:f>'実験2-SFD図とBMD図の自動作成'!$L$59:$L$229</c:f>
              <c:numCache>
                <c:formatCode>General</c:formatCode>
                <c:ptCount val="171"/>
                <c:pt idx="0">
                  <c:v>0</c:v>
                </c:pt>
                <c:pt idx="1">
                  <c:v>-7.6645161290322594E-3</c:v>
                </c:pt>
                <c:pt idx="2">
                  <c:v>-1.5329032258064519E-2</c:v>
                </c:pt>
                <c:pt idx="3">
                  <c:v>-2.2993548387096777E-2</c:v>
                </c:pt>
                <c:pt idx="4">
                  <c:v>-3.0658064516129038E-2</c:v>
                </c:pt>
                <c:pt idx="5">
                  <c:v>-3.8322580645161301E-2</c:v>
                </c:pt>
                <c:pt idx="6">
                  <c:v>-4.5987096774193555E-2</c:v>
                </c:pt>
                <c:pt idx="7">
                  <c:v>-5.3651612903225815E-2</c:v>
                </c:pt>
                <c:pt idx="8">
                  <c:v>-6.1316129032258075E-2</c:v>
                </c:pt>
                <c:pt idx="9">
                  <c:v>-6.8980645161290349E-2</c:v>
                </c:pt>
                <c:pt idx="10">
                  <c:v>-7.6645161290322603E-2</c:v>
                </c:pt>
                <c:pt idx="11">
                  <c:v>-0.15329032258064521</c:v>
                </c:pt>
                <c:pt idx="12">
                  <c:v>-0.22993548387096782</c:v>
                </c:pt>
                <c:pt idx="13">
                  <c:v>-0.30658064516129041</c:v>
                </c:pt>
                <c:pt idx="14">
                  <c:v>-0.38322580645161303</c:v>
                </c:pt>
                <c:pt idx="15">
                  <c:v>-0.45987096774193564</c:v>
                </c:pt>
                <c:pt idx="16">
                  <c:v>-0.5365161290322582</c:v>
                </c:pt>
                <c:pt idx="17">
                  <c:v>-0.61316129032258082</c:v>
                </c:pt>
                <c:pt idx="18">
                  <c:v>-0.68980645161290333</c:v>
                </c:pt>
                <c:pt idx="19">
                  <c:v>-0.76645161290322583</c:v>
                </c:pt>
                <c:pt idx="20">
                  <c:v>-0.84309677419354845</c:v>
                </c:pt>
                <c:pt idx="21">
                  <c:v>-0.85076129032258074</c:v>
                </c:pt>
                <c:pt idx="22">
                  <c:v>-0.85842580645161293</c:v>
                </c:pt>
                <c:pt idx="23">
                  <c:v>-0.86609032258064522</c:v>
                </c:pt>
                <c:pt idx="24">
                  <c:v>-0.87375483870967752</c:v>
                </c:pt>
                <c:pt idx="25">
                  <c:v>-0.88141935483870981</c:v>
                </c:pt>
                <c:pt idx="26">
                  <c:v>-0.889083870967742</c:v>
                </c:pt>
                <c:pt idx="27">
                  <c:v>-0.89674838709677429</c:v>
                </c:pt>
                <c:pt idx="28">
                  <c:v>-0.90441290322580659</c:v>
                </c:pt>
                <c:pt idx="29">
                  <c:v>-0.91207741935483888</c:v>
                </c:pt>
                <c:pt idx="30">
                  <c:v>-0.91974193548387106</c:v>
                </c:pt>
                <c:pt idx="31">
                  <c:v>-0.92740645161290336</c:v>
                </c:pt>
                <c:pt idx="32">
                  <c:v>-0.93507096774193565</c:v>
                </c:pt>
                <c:pt idx="33">
                  <c:v>-0.94273548387096795</c:v>
                </c:pt>
                <c:pt idx="34">
                  <c:v>-0.95040000000000013</c:v>
                </c:pt>
                <c:pt idx="35">
                  <c:v>-0.95806451612903243</c:v>
                </c:pt>
                <c:pt idx="36">
                  <c:v>-0.96572903225806472</c:v>
                </c:pt>
                <c:pt idx="37">
                  <c:v>-0.97339354838709691</c:v>
                </c:pt>
                <c:pt idx="38">
                  <c:v>-0.9810580645161292</c:v>
                </c:pt>
                <c:pt idx="39">
                  <c:v>-0.9887225806451615</c:v>
                </c:pt>
                <c:pt idx="40">
                  <c:v>-0.99638709677419379</c:v>
                </c:pt>
                <c:pt idx="41">
                  <c:v>-1.0730322580645164</c:v>
                </c:pt>
                <c:pt idx="42">
                  <c:v>-1.1496774193548391</c:v>
                </c:pt>
                <c:pt idx="43">
                  <c:v>-1.2263225806451616</c:v>
                </c:pt>
                <c:pt idx="44">
                  <c:v>-1.3029677419354844</c:v>
                </c:pt>
                <c:pt idx="45">
                  <c:v>-1.3796129032258071</c:v>
                </c:pt>
                <c:pt idx="46">
                  <c:v>-1.4562580645161298</c:v>
                </c:pt>
                <c:pt idx="47">
                  <c:v>-1.5329032258064523</c:v>
                </c:pt>
                <c:pt idx="48">
                  <c:v>-1.6095483870967751</c:v>
                </c:pt>
                <c:pt idx="49">
                  <c:v>-1.6172129032258074</c:v>
                </c:pt>
                <c:pt idx="50">
                  <c:v>-1.6248774193548396</c:v>
                </c:pt>
                <c:pt idx="51">
                  <c:v>-1.6325419354838719</c:v>
                </c:pt>
                <c:pt idx="52">
                  <c:v>-1.640206451612904</c:v>
                </c:pt>
                <c:pt idx="53">
                  <c:v>-1.6478709677419363</c:v>
                </c:pt>
                <c:pt idx="54">
                  <c:v>-1.6555354838709686</c:v>
                </c:pt>
                <c:pt idx="55">
                  <c:v>-1.6632000000000009</c:v>
                </c:pt>
                <c:pt idx="56">
                  <c:v>-1.6708645161290332</c:v>
                </c:pt>
                <c:pt idx="57">
                  <c:v>-1.6785290322580655</c:v>
                </c:pt>
                <c:pt idx="58">
                  <c:v>-1.6861935483870978</c:v>
                </c:pt>
                <c:pt idx="59">
                  <c:v>-1.6938580645161301</c:v>
                </c:pt>
                <c:pt idx="60">
                  <c:v>-1.7015225806451622</c:v>
                </c:pt>
                <c:pt idx="61">
                  <c:v>-1.7091870967741944</c:v>
                </c:pt>
                <c:pt idx="62">
                  <c:v>-1.7168516129032267</c:v>
                </c:pt>
                <c:pt idx="63">
                  <c:v>-1.724516129032259</c:v>
                </c:pt>
                <c:pt idx="64">
                  <c:v>-1.7321806451612913</c:v>
                </c:pt>
                <c:pt idx="65">
                  <c:v>-1.7398451612903236</c:v>
                </c:pt>
                <c:pt idx="66">
                  <c:v>-1.7475096774193559</c:v>
                </c:pt>
                <c:pt idx="67">
                  <c:v>-1.7551741935483882</c:v>
                </c:pt>
                <c:pt idx="68">
                  <c:v>-1.7628387096774203</c:v>
                </c:pt>
                <c:pt idx="69">
                  <c:v>-1.839483870967743</c:v>
                </c:pt>
                <c:pt idx="70">
                  <c:v>-1.9161290322580657</c:v>
                </c:pt>
                <c:pt idx="71">
                  <c:v>-1.9927741935483885</c:v>
                </c:pt>
                <c:pt idx="72">
                  <c:v>-2.0694193548387112</c:v>
                </c:pt>
                <c:pt idx="73">
                  <c:v>-2.1460645161290337</c:v>
                </c:pt>
                <c:pt idx="74">
                  <c:v>-2.2227096774193562</c:v>
                </c:pt>
                <c:pt idx="75">
                  <c:v>-2.2993548387096792</c:v>
                </c:pt>
                <c:pt idx="76">
                  <c:v>-2.3070193548387112</c:v>
                </c:pt>
                <c:pt idx="77">
                  <c:v>-2.3146838709677438</c:v>
                </c:pt>
                <c:pt idx="78">
                  <c:v>-2.3223483870967758</c:v>
                </c:pt>
                <c:pt idx="79">
                  <c:v>-2.3300129032258079</c:v>
                </c:pt>
                <c:pt idx="80">
                  <c:v>-2.3376774193548404</c:v>
                </c:pt>
                <c:pt idx="81">
                  <c:v>-2.3453419354838725</c:v>
                </c:pt>
                <c:pt idx="82">
                  <c:v>-2.353006451612905</c:v>
                </c:pt>
                <c:pt idx="83">
                  <c:v>-2.3606709677419371</c:v>
                </c:pt>
                <c:pt idx="84">
                  <c:v>-2.3683354838709696</c:v>
                </c:pt>
                <c:pt idx="85">
                  <c:v>-2.3760000000000017</c:v>
                </c:pt>
                <c:pt idx="86">
                  <c:v>-2.3836645161290337</c:v>
                </c:pt>
                <c:pt idx="87">
                  <c:v>-2.3913290322580663</c:v>
                </c:pt>
                <c:pt idx="88">
                  <c:v>-2.3989935483870983</c:v>
                </c:pt>
                <c:pt idx="89">
                  <c:v>-2.4066580645161308</c:v>
                </c:pt>
                <c:pt idx="90">
                  <c:v>-2.4143225806451629</c:v>
                </c:pt>
                <c:pt idx="91">
                  <c:v>-2.4219870967741954</c:v>
                </c:pt>
                <c:pt idx="92">
                  <c:v>-2.4296516129032275</c:v>
                </c:pt>
                <c:pt idx="93">
                  <c:v>-2.43731612903226</c:v>
                </c:pt>
                <c:pt idx="94">
                  <c:v>-2.4449806451612921</c:v>
                </c:pt>
                <c:pt idx="95">
                  <c:v>-2.4526451612903242</c:v>
                </c:pt>
                <c:pt idx="96">
                  <c:v>-2.4603096774193567</c:v>
                </c:pt>
                <c:pt idx="97">
                  <c:v>-2.4679741935483888</c:v>
                </c:pt>
                <c:pt idx="98">
                  <c:v>-2.4756387096774213</c:v>
                </c:pt>
                <c:pt idx="99">
                  <c:v>-2.4833032258064534</c:v>
                </c:pt>
                <c:pt idx="100">
                  <c:v>-2.4909677419354859</c:v>
                </c:pt>
                <c:pt idx="101">
                  <c:v>-2.4986322580645179</c:v>
                </c:pt>
                <c:pt idx="102">
                  <c:v>-2.50629677419355</c:v>
                </c:pt>
                <c:pt idx="103">
                  <c:v>-2.5139612903225825</c:v>
                </c:pt>
                <c:pt idx="104">
                  <c:v>-2.5216258064516146</c:v>
                </c:pt>
                <c:pt idx="105">
                  <c:v>-2.5292903225806471</c:v>
                </c:pt>
                <c:pt idx="106">
                  <c:v>-2.6059354838709696</c:v>
                </c:pt>
                <c:pt idx="107">
                  <c:v>-2.6136000000000021</c:v>
                </c:pt>
                <c:pt idx="108">
                  <c:v>-2.6212645161290342</c:v>
                </c:pt>
                <c:pt idx="109">
                  <c:v>-2.6289290322580663</c:v>
                </c:pt>
                <c:pt idx="110">
                  <c:v>-2.6365935483870988</c:v>
                </c:pt>
                <c:pt idx="111">
                  <c:v>-2.6442580645161309</c:v>
                </c:pt>
                <c:pt idx="112">
                  <c:v>-2.6519225806451634</c:v>
                </c:pt>
                <c:pt idx="113">
                  <c:v>-2.6595870967741955</c:v>
                </c:pt>
                <c:pt idx="114">
                  <c:v>-2.667251612903228</c:v>
                </c:pt>
                <c:pt idx="115">
                  <c:v>-2.6749161290322601</c:v>
                </c:pt>
                <c:pt idx="116">
                  <c:v>-2.6825806451612886</c:v>
                </c:pt>
                <c:pt idx="117">
                  <c:v>-2.6726451612903208</c:v>
                </c:pt>
                <c:pt idx="118">
                  <c:v>-2.662709677419353</c:v>
                </c:pt>
                <c:pt idx="119">
                  <c:v>-2.6527741935483853</c:v>
                </c:pt>
                <c:pt idx="120">
                  <c:v>-2.6428387096774175</c:v>
                </c:pt>
                <c:pt idx="121">
                  <c:v>-2.6329032258064498</c:v>
                </c:pt>
                <c:pt idx="122">
                  <c:v>-2.622967741935482</c:v>
                </c:pt>
                <c:pt idx="123">
                  <c:v>-2.6130322580645142</c:v>
                </c:pt>
                <c:pt idx="124">
                  <c:v>-2.6030967741935465</c:v>
                </c:pt>
                <c:pt idx="125">
                  <c:v>-2.5931612903225787</c:v>
                </c:pt>
                <c:pt idx="126">
                  <c:v>-2.5832258064516109</c:v>
                </c:pt>
                <c:pt idx="127">
                  <c:v>-2.4838709677419333</c:v>
                </c:pt>
                <c:pt idx="128">
                  <c:v>-2.3845161290322561</c:v>
                </c:pt>
                <c:pt idx="129">
                  <c:v>-2.2851612903225784</c:v>
                </c:pt>
                <c:pt idx="130">
                  <c:v>-2.1858064516129008</c:v>
                </c:pt>
                <c:pt idx="131">
                  <c:v>-2.0864516129032236</c:v>
                </c:pt>
                <c:pt idx="132">
                  <c:v>-1.9870967741935459</c:v>
                </c:pt>
                <c:pt idx="133">
                  <c:v>-1.8877419354838683</c:v>
                </c:pt>
                <c:pt idx="134">
                  <c:v>-1.7883870967741908</c:v>
                </c:pt>
                <c:pt idx="135">
                  <c:v>-1.6890322580645134</c:v>
                </c:pt>
                <c:pt idx="136">
                  <c:v>-1.5896774193548358</c:v>
                </c:pt>
                <c:pt idx="137">
                  <c:v>-1.4903225806451583</c:v>
                </c:pt>
                <c:pt idx="138">
                  <c:v>-1.3909677419354809</c:v>
                </c:pt>
                <c:pt idx="139">
                  <c:v>-1.2916129032258032</c:v>
                </c:pt>
                <c:pt idx="140">
                  <c:v>-1.1922580645161258</c:v>
                </c:pt>
                <c:pt idx="141">
                  <c:v>-1.0929032258064484</c:v>
                </c:pt>
                <c:pt idx="142">
                  <c:v>-0.99354838709677074</c:v>
                </c:pt>
                <c:pt idx="143">
                  <c:v>-0.89419354838709331</c:v>
                </c:pt>
                <c:pt idx="144">
                  <c:v>-0.79483870967741577</c:v>
                </c:pt>
                <c:pt idx="145">
                  <c:v>-0.69548387096773823</c:v>
                </c:pt>
                <c:pt idx="146">
                  <c:v>-0.5961290322580608</c:v>
                </c:pt>
                <c:pt idx="147">
                  <c:v>-0.49677419354838326</c:v>
                </c:pt>
                <c:pt idx="148">
                  <c:v>-0.39741935483870572</c:v>
                </c:pt>
                <c:pt idx="149">
                  <c:v>-0.29806451612902823</c:v>
                </c:pt>
                <c:pt idx="150">
                  <c:v>-0.19870967741935072</c:v>
                </c:pt>
                <c:pt idx="151">
                  <c:v>-0.18877419354838296</c:v>
                </c:pt>
                <c:pt idx="152">
                  <c:v>-0.17883870967741522</c:v>
                </c:pt>
                <c:pt idx="153">
                  <c:v>-0.16890322580644745</c:v>
                </c:pt>
                <c:pt idx="154">
                  <c:v>-0.15896774193547972</c:v>
                </c:pt>
                <c:pt idx="155">
                  <c:v>-0.14903225806451195</c:v>
                </c:pt>
                <c:pt idx="156">
                  <c:v>-0.13909677419354421</c:v>
                </c:pt>
                <c:pt idx="157">
                  <c:v>-0.12916129032257645</c:v>
                </c:pt>
                <c:pt idx="158">
                  <c:v>-0.11922580645160871</c:v>
                </c:pt>
                <c:pt idx="159">
                  <c:v>-0.10929032258064096</c:v>
                </c:pt>
                <c:pt idx="160">
                  <c:v>-9.935483870967321E-2</c:v>
                </c:pt>
                <c:pt idx="161">
                  <c:v>-8.9419354838705459E-2</c:v>
                </c:pt>
                <c:pt idx="162">
                  <c:v>-7.9483870967737708E-2</c:v>
                </c:pt>
                <c:pt idx="163">
                  <c:v>-6.9548387096769956E-2</c:v>
                </c:pt>
                <c:pt idx="164">
                  <c:v>-5.9612903225802205E-2</c:v>
                </c:pt>
                <c:pt idx="165">
                  <c:v>-4.9677419354834454E-2</c:v>
                </c:pt>
                <c:pt idx="166">
                  <c:v>-3.9741935483866703E-2</c:v>
                </c:pt>
                <c:pt idx="167">
                  <c:v>-2.9806451612898955E-2</c:v>
                </c:pt>
                <c:pt idx="168">
                  <c:v>-1.9870967741931204E-2</c:v>
                </c:pt>
                <c:pt idx="169">
                  <c:v>-9.9354838709634543E-3</c:v>
                </c:pt>
                <c:pt idx="170">
                  <c:v>4.2969100499945512E-15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81-41D2-B6EC-183E15A3D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961472"/>
        <c:axId val="1203953984"/>
      </c:scatterChart>
      <c:valAx>
        <c:axId val="120396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3953984"/>
        <c:crosses val="autoZero"/>
        <c:crossBetween val="midCat"/>
      </c:valAx>
      <c:valAx>
        <c:axId val="120395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396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'実験3-SFDとBMD'!$C$7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'実験3-SFDとBMD'!$B$8:$B$119</c:f>
              <c:numCache>
                <c:formatCode>General</c:formatCode>
                <c:ptCount val="112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0.11</c:v>
                </c:pt>
                <c:pt idx="16">
                  <c:v>0.12</c:v>
                </c:pt>
                <c:pt idx="17">
                  <c:v>0.13</c:v>
                </c:pt>
                <c:pt idx="18">
                  <c:v>0.14000000000000001</c:v>
                </c:pt>
                <c:pt idx="19">
                  <c:v>0.15</c:v>
                </c:pt>
                <c:pt idx="20">
                  <c:v>0.16</c:v>
                </c:pt>
                <c:pt idx="21">
                  <c:v>0.17</c:v>
                </c:pt>
                <c:pt idx="22">
                  <c:v>0.18</c:v>
                </c:pt>
                <c:pt idx="23">
                  <c:v>0.182</c:v>
                </c:pt>
                <c:pt idx="24">
                  <c:v>0.184</c:v>
                </c:pt>
                <c:pt idx="25">
                  <c:v>0.186</c:v>
                </c:pt>
                <c:pt idx="26">
                  <c:v>0.188</c:v>
                </c:pt>
                <c:pt idx="27">
                  <c:v>0.19</c:v>
                </c:pt>
                <c:pt idx="28">
                  <c:v>0.192</c:v>
                </c:pt>
                <c:pt idx="29">
                  <c:v>0.19400000000000001</c:v>
                </c:pt>
                <c:pt idx="30">
                  <c:v>0.19600000000000001</c:v>
                </c:pt>
                <c:pt idx="31">
                  <c:v>0.19800000000000001</c:v>
                </c:pt>
                <c:pt idx="32">
                  <c:v>0.2</c:v>
                </c:pt>
                <c:pt idx="33">
                  <c:v>0.21</c:v>
                </c:pt>
                <c:pt idx="34">
                  <c:v>0.22</c:v>
                </c:pt>
                <c:pt idx="35">
                  <c:v>0.23</c:v>
                </c:pt>
                <c:pt idx="36">
                  <c:v>0.24</c:v>
                </c:pt>
                <c:pt idx="37">
                  <c:v>0.25</c:v>
                </c:pt>
                <c:pt idx="38">
                  <c:v>0.26</c:v>
                </c:pt>
                <c:pt idx="39">
                  <c:v>0.27</c:v>
                </c:pt>
                <c:pt idx="40">
                  <c:v>0.28000000000000003</c:v>
                </c:pt>
                <c:pt idx="41">
                  <c:v>0.28999999999999998</c:v>
                </c:pt>
                <c:pt idx="42">
                  <c:v>0.3</c:v>
                </c:pt>
                <c:pt idx="43">
                  <c:v>0.31</c:v>
                </c:pt>
                <c:pt idx="44">
                  <c:v>0.32</c:v>
                </c:pt>
                <c:pt idx="45">
                  <c:v>0.33</c:v>
                </c:pt>
                <c:pt idx="46">
                  <c:v>0.34</c:v>
                </c:pt>
                <c:pt idx="47">
                  <c:v>0.35</c:v>
                </c:pt>
                <c:pt idx="48">
                  <c:v>0.36</c:v>
                </c:pt>
                <c:pt idx="49">
                  <c:v>0.37</c:v>
                </c:pt>
                <c:pt idx="50">
                  <c:v>0.38</c:v>
                </c:pt>
                <c:pt idx="51">
                  <c:v>0.38200000000000001</c:v>
                </c:pt>
                <c:pt idx="52">
                  <c:v>0.38400000000000001</c:v>
                </c:pt>
                <c:pt idx="53">
                  <c:v>0.38600000000000001</c:v>
                </c:pt>
                <c:pt idx="54">
                  <c:v>0.38800000000000001</c:v>
                </c:pt>
                <c:pt idx="55">
                  <c:v>0.39</c:v>
                </c:pt>
                <c:pt idx="56">
                  <c:v>0.39200000000000002</c:v>
                </c:pt>
                <c:pt idx="57">
                  <c:v>0.39400000000000002</c:v>
                </c:pt>
                <c:pt idx="58">
                  <c:v>0.39600000000000002</c:v>
                </c:pt>
                <c:pt idx="59">
                  <c:v>0.39800000000000002</c:v>
                </c:pt>
                <c:pt idx="60">
                  <c:v>0.4</c:v>
                </c:pt>
                <c:pt idx="61">
                  <c:v>0.41</c:v>
                </c:pt>
                <c:pt idx="62">
                  <c:v>0.42</c:v>
                </c:pt>
                <c:pt idx="63">
                  <c:v>0.43</c:v>
                </c:pt>
                <c:pt idx="64">
                  <c:v>0.44</c:v>
                </c:pt>
                <c:pt idx="65">
                  <c:v>0.45</c:v>
                </c:pt>
                <c:pt idx="66">
                  <c:v>0.46</c:v>
                </c:pt>
                <c:pt idx="67">
                  <c:v>0.47</c:v>
                </c:pt>
                <c:pt idx="68">
                  <c:v>0.48</c:v>
                </c:pt>
                <c:pt idx="69">
                  <c:v>0.49</c:v>
                </c:pt>
                <c:pt idx="70">
                  <c:v>0.5</c:v>
                </c:pt>
                <c:pt idx="71">
                  <c:v>0.51</c:v>
                </c:pt>
                <c:pt idx="72">
                  <c:v>0.52</c:v>
                </c:pt>
                <c:pt idx="73">
                  <c:v>0.53</c:v>
                </c:pt>
                <c:pt idx="74">
                  <c:v>0.54</c:v>
                </c:pt>
                <c:pt idx="75">
                  <c:v>0.55000000000000004</c:v>
                </c:pt>
                <c:pt idx="76">
                  <c:v>0.56000000000000005</c:v>
                </c:pt>
                <c:pt idx="77">
                  <c:v>0.56999999999999995</c:v>
                </c:pt>
                <c:pt idx="78">
                  <c:v>0.57999999999999996</c:v>
                </c:pt>
                <c:pt idx="79">
                  <c:v>0.59</c:v>
                </c:pt>
                <c:pt idx="80">
                  <c:v>0.59199999999999997</c:v>
                </c:pt>
                <c:pt idx="81">
                  <c:v>0.59399999999999997</c:v>
                </c:pt>
                <c:pt idx="82">
                  <c:v>0.59599999999999997</c:v>
                </c:pt>
                <c:pt idx="83">
                  <c:v>0.59799999999999998</c:v>
                </c:pt>
                <c:pt idx="84">
                  <c:v>0.6</c:v>
                </c:pt>
                <c:pt idx="85">
                  <c:v>0.60199999999999998</c:v>
                </c:pt>
                <c:pt idx="86">
                  <c:v>0.60399999999999998</c:v>
                </c:pt>
                <c:pt idx="87">
                  <c:v>0.60599999999999998</c:v>
                </c:pt>
                <c:pt idx="88">
                  <c:v>0.60799999999999998</c:v>
                </c:pt>
                <c:pt idx="89">
                  <c:v>0.61</c:v>
                </c:pt>
                <c:pt idx="90">
                  <c:v>0.62</c:v>
                </c:pt>
                <c:pt idx="91">
                  <c:v>0.63</c:v>
                </c:pt>
                <c:pt idx="92">
                  <c:v>0.64</c:v>
                </c:pt>
                <c:pt idx="93">
                  <c:v>0.65</c:v>
                </c:pt>
                <c:pt idx="94">
                  <c:v>0.66</c:v>
                </c:pt>
                <c:pt idx="95">
                  <c:v>0.67</c:v>
                </c:pt>
                <c:pt idx="96">
                  <c:v>0.68</c:v>
                </c:pt>
                <c:pt idx="97">
                  <c:v>0.69</c:v>
                </c:pt>
                <c:pt idx="98">
                  <c:v>0.7</c:v>
                </c:pt>
                <c:pt idx="99">
                  <c:v>0.71</c:v>
                </c:pt>
                <c:pt idx="100">
                  <c:v>0.72</c:v>
                </c:pt>
                <c:pt idx="101">
                  <c:v>0.73</c:v>
                </c:pt>
                <c:pt idx="102">
                  <c:v>0.74</c:v>
                </c:pt>
                <c:pt idx="103">
                  <c:v>0.75</c:v>
                </c:pt>
                <c:pt idx="104">
                  <c:v>0.76</c:v>
                </c:pt>
                <c:pt idx="105">
                  <c:v>0.77</c:v>
                </c:pt>
                <c:pt idx="106">
                  <c:v>0.78</c:v>
                </c:pt>
                <c:pt idx="107">
                  <c:v>0.78200000000000003</c:v>
                </c:pt>
                <c:pt idx="108">
                  <c:v>0.78400000000000003</c:v>
                </c:pt>
                <c:pt idx="109">
                  <c:v>0.78600000000000003</c:v>
                </c:pt>
                <c:pt idx="110">
                  <c:v>0.78800000000000003</c:v>
                </c:pt>
                <c:pt idx="111">
                  <c:v>0.79</c:v>
                </c:pt>
              </c:numCache>
            </c:numRef>
          </c:xVal>
          <c:yVal>
            <c:numRef>
              <c:f>'実験3-SFDとBMD'!$C$8:$C$119</c:f>
              <c:numCache>
                <c:formatCode>General</c:formatCode>
                <c:ptCount val="112"/>
                <c:pt idx="0">
                  <c:v>0</c:v>
                </c:pt>
                <c:pt idx="1">
                  <c:v>-6.38</c:v>
                </c:pt>
                <c:pt idx="2">
                  <c:v>-6.38</c:v>
                </c:pt>
                <c:pt idx="3">
                  <c:v>-6.38</c:v>
                </c:pt>
                <c:pt idx="4">
                  <c:v>-6.38</c:v>
                </c:pt>
                <c:pt idx="5">
                  <c:v>-6.38</c:v>
                </c:pt>
                <c:pt idx="6">
                  <c:v>-6.38</c:v>
                </c:pt>
                <c:pt idx="7">
                  <c:v>-6.38</c:v>
                </c:pt>
                <c:pt idx="8">
                  <c:v>-6.38</c:v>
                </c:pt>
                <c:pt idx="9">
                  <c:v>-6.38</c:v>
                </c:pt>
                <c:pt idx="10">
                  <c:v>-6.38</c:v>
                </c:pt>
                <c:pt idx="11">
                  <c:v>-6.38</c:v>
                </c:pt>
                <c:pt idx="12">
                  <c:v>-6.38</c:v>
                </c:pt>
                <c:pt idx="13">
                  <c:v>-6.38</c:v>
                </c:pt>
                <c:pt idx="14">
                  <c:v>-6.38</c:v>
                </c:pt>
                <c:pt idx="15">
                  <c:v>-6.38</c:v>
                </c:pt>
                <c:pt idx="16">
                  <c:v>-6.38</c:v>
                </c:pt>
                <c:pt idx="17">
                  <c:v>-6.38</c:v>
                </c:pt>
                <c:pt idx="18">
                  <c:v>-6.38</c:v>
                </c:pt>
                <c:pt idx="19">
                  <c:v>-6.38</c:v>
                </c:pt>
                <c:pt idx="20">
                  <c:v>-6.38</c:v>
                </c:pt>
                <c:pt idx="21">
                  <c:v>-6.38</c:v>
                </c:pt>
                <c:pt idx="22">
                  <c:v>-6.38</c:v>
                </c:pt>
                <c:pt idx="23">
                  <c:v>-6.38</c:v>
                </c:pt>
                <c:pt idx="24">
                  <c:v>-6.38</c:v>
                </c:pt>
                <c:pt idx="25">
                  <c:v>-6.38</c:v>
                </c:pt>
                <c:pt idx="26">
                  <c:v>-6.38</c:v>
                </c:pt>
                <c:pt idx="27">
                  <c:v>0</c:v>
                </c:pt>
                <c:pt idx="28">
                  <c:v>13.22</c:v>
                </c:pt>
                <c:pt idx="29">
                  <c:v>13.22</c:v>
                </c:pt>
                <c:pt idx="30">
                  <c:v>13.22</c:v>
                </c:pt>
                <c:pt idx="31">
                  <c:v>13.22</c:v>
                </c:pt>
                <c:pt idx="32">
                  <c:v>13.22</c:v>
                </c:pt>
                <c:pt idx="33">
                  <c:v>13.22</c:v>
                </c:pt>
                <c:pt idx="34">
                  <c:v>13.22</c:v>
                </c:pt>
                <c:pt idx="35">
                  <c:v>13.22</c:v>
                </c:pt>
                <c:pt idx="36">
                  <c:v>13.22</c:v>
                </c:pt>
                <c:pt idx="37">
                  <c:v>13.22</c:v>
                </c:pt>
                <c:pt idx="38">
                  <c:v>13.22</c:v>
                </c:pt>
                <c:pt idx="39">
                  <c:v>13.22</c:v>
                </c:pt>
                <c:pt idx="40">
                  <c:v>13.22</c:v>
                </c:pt>
                <c:pt idx="41">
                  <c:v>13.22</c:v>
                </c:pt>
                <c:pt idx="42">
                  <c:v>13.22</c:v>
                </c:pt>
                <c:pt idx="43">
                  <c:v>13.22</c:v>
                </c:pt>
                <c:pt idx="44">
                  <c:v>13.22</c:v>
                </c:pt>
                <c:pt idx="45">
                  <c:v>13.22</c:v>
                </c:pt>
                <c:pt idx="46">
                  <c:v>13.22</c:v>
                </c:pt>
                <c:pt idx="47">
                  <c:v>13.22</c:v>
                </c:pt>
                <c:pt idx="48">
                  <c:v>13.22</c:v>
                </c:pt>
                <c:pt idx="49">
                  <c:v>13.22</c:v>
                </c:pt>
                <c:pt idx="50">
                  <c:v>13.22</c:v>
                </c:pt>
                <c:pt idx="51">
                  <c:v>13.22</c:v>
                </c:pt>
                <c:pt idx="52">
                  <c:v>13.22</c:v>
                </c:pt>
                <c:pt idx="53">
                  <c:v>13.22</c:v>
                </c:pt>
                <c:pt idx="54">
                  <c:v>13.22</c:v>
                </c:pt>
                <c:pt idx="55">
                  <c:v>0</c:v>
                </c:pt>
                <c:pt idx="56">
                  <c:v>-12.88</c:v>
                </c:pt>
                <c:pt idx="57">
                  <c:v>-12.88</c:v>
                </c:pt>
                <c:pt idx="58">
                  <c:v>-12.88</c:v>
                </c:pt>
                <c:pt idx="59">
                  <c:v>-12.88</c:v>
                </c:pt>
                <c:pt idx="60">
                  <c:v>-12.88</c:v>
                </c:pt>
                <c:pt idx="61">
                  <c:v>-12.88</c:v>
                </c:pt>
                <c:pt idx="62">
                  <c:v>-12.88</c:v>
                </c:pt>
                <c:pt idx="63">
                  <c:v>-12.88</c:v>
                </c:pt>
                <c:pt idx="64">
                  <c:v>-12.88</c:v>
                </c:pt>
                <c:pt idx="65">
                  <c:v>-12.88</c:v>
                </c:pt>
                <c:pt idx="66">
                  <c:v>-12.88</c:v>
                </c:pt>
                <c:pt idx="67">
                  <c:v>-12.88</c:v>
                </c:pt>
                <c:pt idx="68">
                  <c:v>-12.88</c:v>
                </c:pt>
                <c:pt idx="69">
                  <c:v>-12.88</c:v>
                </c:pt>
                <c:pt idx="70">
                  <c:v>-12.88</c:v>
                </c:pt>
                <c:pt idx="71">
                  <c:v>-12.88</c:v>
                </c:pt>
                <c:pt idx="72">
                  <c:v>-12.88</c:v>
                </c:pt>
                <c:pt idx="73">
                  <c:v>-12.88</c:v>
                </c:pt>
                <c:pt idx="74">
                  <c:v>-12.88</c:v>
                </c:pt>
                <c:pt idx="75">
                  <c:v>-12.88</c:v>
                </c:pt>
                <c:pt idx="76">
                  <c:v>-12.88</c:v>
                </c:pt>
                <c:pt idx="77">
                  <c:v>-12.88</c:v>
                </c:pt>
                <c:pt idx="78">
                  <c:v>-12.88</c:v>
                </c:pt>
                <c:pt idx="79">
                  <c:v>-12.88</c:v>
                </c:pt>
                <c:pt idx="80">
                  <c:v>-12.88</c:v>
                </c:pt>
                <c:pt idx="81">
                  <c:v>-12.88</c:v>
                </c:pt>
                <c:pt idx="82">
                  <c:v>-12.88</c:v>
                </c:pt>
                <c:pt idx="83">
                  <c:v>-12.88</c:v>
                </c:pt>
                <c:pt idx="84">
                  <c:v>0</c:v>
                </c:pt>
                <c:pt idx="85">
                  <c:v>6.72</c:v>
                </c:pt>
                <c:pt idx="86">
                  <c:v>6.72</c:v>
                </c:pt>
                <c:pt idx="87">
                  <c:v>6.72</c:v>
                </c:pt>
                <c:pt idx="88">
                  <c:v>6.72</c:v>
                </c:pt>
                <c:pt idx="89">
                  <c:v>6.72</c:v>
                </c:pt>
                <c:pt idx="90">
                  <c:v>6.72</c:v>
                </c:pt>
                <c:pt idx="91">
                  <c:v>6.72</c:v>
                </c:pt>
                <c:pt idx="92">
                  <c:v>6.72</c:v>
                </c:pt>
                <c:pt idx="93">
                  <c:v>6.72</c:v>
                </c:pt>
                <c:pt idx="94">
                  <c:v>6.72</c:v>
                </c:pt>
                <c:pt idx="95">
                  <c:v>6.72</c:v>
                </c:pt>
                <c:pt idx="96">
                  <c:v>6.72</c:v>
                </c:pt>
                <c:pt idx="97">
                  <c:v>6.72</c:v>
                </c:pt>
                <c:pt idx="98">
                  <c:v>6.72</c:v>
                </c:pt>
                <c:pt idx="99">
                  <c:v>6.72</c:v>
                </c:pt>
                <c:pt idx="100">
                  <c:v>6.72</c:v>
                </c:pt>
                <c:pt idx="101">
                  <c:v>6.72</c:v>
                </c:pt>
                <c:pt idx="102">
                  <c:v>6.72</c:v>
                </c:pt>
                <c:pt idx="103">
                  <c:v>6.72</c:v>
                </c:pt>
                <c:pt idx="104">
                  <c:v>6.72</c:v>
                </c:pt>
                <c:pt idx="105">
                  <c:v>6.72</c:v>
                </c:pt>
                <c:pt idx="106">
                  <c:v>6.72</c:v>
                </c:pt>
                <c:pt idx="107">
                  <c:v>6.72</c:v>
                </c:pt>
                <c:pt idx="108">
                  <c:v>6.72</c:v>
                </c:pt>
                <c:pt idx="109">
                  <c:v>6.72</c:v>
                </c:pt>
                <c:pt idx="110">
                  <c:v>6.72</c:v>
                </c:pt>
                <c:pt idx="1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C-49D5-95E6-98C67F7E0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368704"/>
        <c:axId val="372360472"/>
      </c:scatterChart>
      <c:valAx>
        <c:axId val="372368704"/>
        <c:scaling>
          <c:orientation val="minMax"/>
          <c:max val="0.7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x</a:t>
                </a:r>
                <a:r>
                  <a:rPr lang="en-US" altLang="ja-JP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 [m]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>
            <c:manualLayout>
              <c:xMode val="edge"/>
              <c:yMode val="edge"/>
              <c:x val="0.466945664941054"/>
              <c:y val="0.935897435897436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ja-JP"/>
          </a:p>
        </c:txPr>
        <c:crossAx val="372360472"/>
        <c:crosses val="autoZero"/>
        <c:crossBetween val="midCat"/>
      </c:valAx>
      <c:valAx>
        <c:axId val="37236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せん断力</a:t>
                </a: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Q</a:t>
                </a:r>
                <a:r>
                  <a:rPr lang="en-US" altLang="ja-JP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 [N]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ja-JP"/>
          </a:p>
        </c:txPr>
        <c:crossAx val="3723687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'実験3-SFDとBMD'!$E$7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'実験3-SFDとBMD'!$D$8:$D$119</c:f>
              <c:numCache>
                <c:formatCode>General</c:formatCode>
                <c:ptCount val="112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0.11</c:v>
                </c:pt>
                <c:pt idx="16">
                  <c:v>0.12</c:v>
                </c:pt>
                <c:pt idx="17">
                  <c:v>0.13</c:v>
                </c:pt>
                <c:pt idx="18">
                  <c:v>0.14000000000000001</c:v>
                </c:pt>
                <c:pt idx="19">
                  <c:v>0.15</c:v>
                </c:pt>
                <c:pt idx="20">
                  <c:v>0.16</c:v>
                </c:pt>
                <c:pt idx="21">
                  <c:v>0.17</c:v>
                </c:pt>
                <c:pt idx="22">
                  <c:v>0.18</c:v>
                </c:pt>
                <c:pt idx="23">
                  <c:v>0.182</c:v>
                </c:pt>
                <c:pt idx="24">
                  <c:v>0.184</c:v>
                </c:pt>
                <c:pt idx="25">
                  <c:v>0.186</c:v>
                </c:pt>
                <c:pt idx="26">
                  <c:v>0.188</c:v>
                </c:pt>
                <c:pt idx="27">
                  <c:v>0.19</c:v>
                </c:pt>
                <c:pt idx="28">
                  <c:v>0.192</c:v>
                </c:pt>
                <c:pt idx="29">
                  <c:v>0.19400000000000001</c:v>
                </c:pt>
                <c:pt idx="30">
                  <c:v>0.19600000000000001</c:v>
                </c:pt>
                <c:pt idx="31">
                  <c:v>0.19800000000000001</c:v>
                </c:pt>
                <c:pt idx="32">
                  <c:v>0.2</c:v>
                </c:pt>
                <c:pt idx="33">
                  <c:v>0.21</c:v>
                </c:pt>
                <c:pt idx="34">
                  <c:v>0.22</c:v>
                </c:pt>
                <c:pt idx="35">
                  <c:v>0.23</c:v>
                </c:pt>
                <c:pt idx="36">
                  <c:v>0.24</c:v>
                </c:pt>
                <c:pt idx="37">
                  <c:v>0.25</c:v>
                </c:pt>
                <c:pt idx="38">
                  <c:v>0.26</c:v>
                </c:pt>
                <c:pt idx="39">
                  <c:v>0.27</c:v>
                </c:pt>
                <c:pt idx="40">
                  <c:v>0.28000000000000003</c:v>
                </c:pt>
                <c:pt idx="41">
                  <c:v>0.28999999999999998</c:v>
                </c:pt>
                <c:pt idx="42">
                  <c:v>0.3</c:v>
                </c:pt>
                <c:pt idx="43">
                  <c:v>0.31</c:v>
                </c:pt>
                <c:pt idx="44">
                  <c:v>0.32</c:v>
                </c:pt>
                <c:pt idx="45">
                  <c:v>0.33</c:v>
                </c:pt>
                <c:pt idx="46">
                  <c:v>0.34</c:v>
                </c:pt>
                <c:pt idx="47">
                  <c:v>0.35</c:v>
                </c:pt>
                <c:pt idx="48">
                  <c:v>0.36</c:v>
                </c:pt>
                <c:pt idx="49">
                  <c:v>0.37</c:v>
                </c:pt>
                <c:pt idx="50">
                  <c:v>0.38</c:v>
                </c:pt>
                <c:pt idx="51">
                  <c:v>0.38200000000000001</c:v>
                </c:pt>
                <c:pt idx="52">
                  <c:v>0.38400000000000001</c:v>
                </c:pt>
                <c:pt idx="53">
                  <c:v>0.38600000000000001</c:v>
                </c:pt>
                <c:pt idx="54">
                  <c:v>0.38800000000000001</c:v>
                </c:pt>
                <c:pt idx="55">
                  <c:v>0.39</c:v>
                </c:pt>
                <c:pt idx="56">
                  <c:v>0.39200000000000002</c:v>
                </c:pt>
                <c:pt idx="57">
                  <c:v>0.39400000000000002</c:v>
                </c:pt>
                <c:pt idx="58">
                  <c:v>0.39600000000000002</c:v>
                </c:pt>
                <c:pt idx="59">
                  <c:v>0.39800000000000002</c:v>
                </c:pt>
                <c:pt idx="60">
                  <c:v>0.4</c:v>
                </c:pt>
                <c:pt idx="61">
                  <c:v>0.41</c:v>
                </c:pt>
                <c:pt idx="62">
                  <c:v>0.42</c:v>
                </c:pt>
                <c:pt idx="63">
                  <c:v>0.43</c:v>
                </c:pt>
                <c:pt idx="64">
                  <c:v>0.44</c:v>
                </c:pt>
                <c:pt idx="65">
                  <c:v>0.45</c:v>
                </c:pt>
                <c:pt idx="66">
                  <c:v>0.46</c:v>
                </c:pt>
                <c:pt idx="67">
                  <c:v>0.47</c:v>
                </c:pt>
                <c:pt idx="68">
                  <c:v>0.48</c:v>
                </c:pt>
                <c:pt idx="69">
                  <c:v>0.49</c:v>
                </c:pt>
                <c:pt idx="70">
                  <c:v>0.5</c:v>
                </c:pt>
                <c:pt idx="71">
                  <c:v>0.51</c:v>
                </c:pt>
                <c:pt idx="72">
                  <c:v>0.52</c:v>
                </c:pt>
                <c:pt idx="73">
                  <c:v>0.53</c:v>
                </c:pt>
                <c:pt idx="74">
                  <c:v>0.54</c:v>
                </c:pt>
                <c:pt idx="75">
                  <c:v>0.55000000000000004</c:v>
                </c:pt>
                <c:pt idx="76">
                  <c:v>0.56000000000000005</c:v>
                </c:pt>
                <c:pt idx="77">
                  <c:v>0.56999999999999995</c:v>
                </c:pt>
                <c:pt idx="78">
                  <c:v>0.57999999999999996</c:v>
                </c:pt>
                <c:pt idx="79">
                  <c:v>0.59</c:v>
                </c:pt>
                <c:pt idx="80">
                  <c:v>0.59199999999999997</c:v>
                </c:pt>
                <c:pt idx="81">
                  <c:v>0.59399999999999997</c:v>
                </c:pt>
                <c:pt idx="82">
                  <c:v>0.59599999999999997</c:v>
                </c:pt>
                <c:pt idx="83">
                  <c:v>0.59799999999999998</c:v>
                </c:pt>
                <c:pt idx="84">
                  <c:v>0.6</c:v>
                </c:pt>
                <c:pt idx="85">
                  <c:v>0.60199999999999998</c:v>
                </c:pt>
                <c:pt idx="86">
                  <c:v>0.60399999999999998</c:v>
                </c:pt>
                <c:pt idx="87">
                  <c:v>0.60599999999999998</c:v>
                </c:pt>
                <c:pt idx="88">
                  <c:v>0.60799999999999998</c:v>
                </c:pt>
                <c:pt idx="89">
                  <c:v>0.61</c:v>
                </c:pt>
                <c:pt idx="90">
                  <c:v>0.62</c:v>
                </c:pt>
                <c:pt idx="91">
                  <c:v>0.63</c:v>
                </c:pt>
                <c:pt idx="92">
                  <c:v>0.64</c:v>
                </c:pt>
                <c:pt idx="93">
                  <c:v>0.65</c:v>
                </c:pt>
                <c:pt idx="94">
                  <c:v>0.66</c:v>
                </c:pt>
                <c:pt idx="95">
                  <c:v>0.67</c:v>
                </c:pt>
                <c:pt idx="96">
                  <c:v>0.68</c:v>
                </c:pt>
                <c:pt idx="97">
                  <c:v>0.69</c:v>
                </c:pt>
                <c:pt idx="98">
                  <c:v>0.7</c:v>
                </c:pt>
                <c:pt idx="99">
                  <c:v>0.71</c:v>
                </c:pt>
                <c:pt idx="100">
                  <c:v>0.72</c:v>
                </c:pt>
                <c:pt idx="101">
                  <c:v>0.73</c:v>
                </c:pt>
                <c:pt idx="102">
                  <c:v>0.74</c:v>
                </c:pt>
                <c:pt idx="103">
                  <c:v>0.75</c:v>
                </c:pt>
                <c:pt idx="104">
                  <c:v>0.76</c:v>
                </c:pt>
                <c:pt idx="105">
                  <c:v>0.77</c:v>
                </c:pt>
                <c:pt idx="106">
                  <c:v>0.78</c:v>
                </c:pt>
                <c:pt idx="107">
                  <c:v>0.78200000000000003</c:v>
                </c:pt>
                <c:pt idx="108">
                  <c:v>0.78400000000000003</c:v>
                </c:pt>
                <c:pt idx="109">
                  <c:v>0.78600000000000003</c:v>
                </c:pt>
                <c:pt idx="110">
                  <c:v>0.78800000000000003</c:v>
                </c:pt>
                <c:pt idx="111">
                  <c:v>0.79</c:v>
                </c:pt>
              </c:numCache>
            </c:numRef>
          </c:xVal>
          <c:yVal>
            <c:numRef>
              <c:f>'実験3-SFDとBMD'!$E$8:$E$119</c:f>
              <c:numCache>
                <c:formatCode>General</c:formatCode>
                <c:ptCount val="112"/>
                <c:pt idx="0">
                  <c:v>0</c:v>
                </c:pt>
                <c:pt idx="1">
                  <c:v>-1.2760000000000001E-2</c:v>
                </c:pt>
                <c:pt idx="2">
                  <c:v>-2.5520000000000001E-2</c:v>
                </c:pt>
                <c:pt idx="3">
                  <c:v>-3.8280000000000002E-2</c:v>
                </c:pt>
                <c:pt idx="4">
                  <c:v>-5.1040000000000002E-2</c:v>
                </c:pt>
                <c:pt idx="5">
                  <c:v>-6.3799999999999996E-2</c:v>
                </c:pt>
                <c:pt idx="6">
                  <c:v>-0.12759999999999999</c:v>
                </c:pt>
                <c:pt idx="7">
                  <c:v>-0.19139999999999999</c:v>
                </c:pt>
                <c:pt idx="8">
                  <c:v>-0.25519999999999998</c:v>
                </c:pt>
                <c:pt idx="9">
                  <c:v>-0.31900000000000001</c:v>
                </c:pt>
                <c:pt idx="10">
                  <c:v>-0.38279999999999997</c:v>
                </c:pt>
                <c:pt idx="11">
                  <c:v>-0.44660000000000005</c:v>
                </c:pt>
                <c:pt idx="12">
                  <c:v>-0.51039999999999996</c:v>
                </c:pt>
                <c:pt idx="13">
                  <c:v>-0.57419999999999993</c:v>
                </c:pt>
                <c:pt idx="14">
                  <c:v>-0.63800000000000001</c:v>
                </c:pt>
                <c:pt idx="15">
                  <c:v>-0.70179999999999998</c:v>
                </c:pt>
                <c:pt idx="16">
                  <c:v>-0.76559999999999995</c:v>
                </c:pt>
                <c:pt idx="17">
                  <c:v>-0.82940000000000003</c:v>
                </c:pt>
                <c:pt idx="18">
                  <c:v>-0.8932000000000001</c:v>
                </c:pt>
                <c:pt idx="19">
                  <c:v>-0.95699999999999996</c:v>
                </c:pt>
                <c:pt idx="20">
                  <c:v>-1.0207999999999999</c:v>
                </c:pt>
                <c:pt idx="21">
                  <c:v>-1.0846</c:v>
                </c:pt>
                <c:pt idx="22">
                  <c:v>-1.1483999999999999</c:v>
                </c:pt>
                <c:pt idx="23">
                  <c:v>-1.16116</c:v>
                </c:pt>
                <c:pt idx="24">
                  <c:v>-1.1739199999999999</c:v>
                </c:pt>
                <c:pt idx="25">
                  <c:v>-1.18668</c:v>
                </c:pt>
                <c:pt idx="26">
                  <c:v>-1.1994400000000001</c:v>
                </c:pt>
                <c:pt idx="27">
                  <c:v>-1.2121999999999999</c:v>
                </c:pt>
                <c:pt idx="28">
                  <c:v>-1.1857600000000001</c:v>
                </c:pt>
                <c:pt idx="29">
                  <c:v>-1.1593200000000001</c:v>
                </c:pt>
                <c:pt idx="30">
                  <c:v>-1.1328800000000001</c:v>
                </c:pt>
                <c:pt idx="31">
                  <c:v>-1.1064400000000001</c:v>
                </c:pt>
                <c:pt idx="32">
                  <c:v>-1.08</c:v>
                </c:pt>
                <c:pt idx="33">
                  <c:v>-0.94779999999999998</c:v>
                </c:pt>
                <c:pt idx="34">
                  <c:v>-0.81559999999999988</c:v>
                </c:pt>
                <c:pt idx="35">
                  <c:v>-0.68339999999999979</c:v>
                </c:pt>
                <c:pt idx="36">
                  <c:v>-0.55120000000000013</c:v>
                </c:pt>
                <c:pt idx="37">
                  <c:v>-0.41900000000000004</c:v>
                </c:pt>
                <c:pt idx="38">
                  <c:v>-0.28679999999999994</c:v>
                </c:pt>
                <c:pt idx="39">
                  <c:v>-0.15459999999999985</c:v>
                </c:pt>
                <c:pt idx="40">
                  <c:v>-2.2399999999999753E-2</c:v>
                </c:pt>
                <c:pt idx="41">
                  <c:v>0.1097999999999999</c:v>
                </c:pt>
                <c:pt idx="42">
                  <c:v>0.24199999999999999</c:v>
                </c:pt>
                <c:pt idx="43">
                  <c:v>0.37420000000000009</c:v>
                </c:pt>
                <c:pt idx="44">
                  <c:v>0.50640000000000018</c:v>
                </c:pt>
                <c:pt idx="45">
                  <c:v>0.63860000000000028</c:v>
                </c:pt>
                <c:pt idx="46">
                  <c:v>0.77080000000000037</c:v>
                </c:pt>
                <c:pt idx="47">
                  <c:v>0.90299999999999958</c:v>
                </c:pt>
                <c:pt idx="48">
                  <c:v>1.0351999999999997</c:v>
                </c:pt>
                <c:pt idx="49">
                  <c:v>1.1673999999999998</c:v>
                </c:pt>
                <c:pt idx="50">
                  <c:v>1.2995999999999999</c:v>
                </c:pt>
                <c:pt idx="51">
                  <c:v>1.3260399999999999</c:v>
                </c:pt>
                <c:pt idx="52">
                  <c:v>1.3524799999999999</c:v>
                </c:pt>
                <c:pt idx="53">
                  <c:v>1.3789199999999999</c:v>
                </c:pt>
                <c:pt idx="54">
                  <c:v>1.4053599999999999</c:v>
                </c:pt>
                <c:pt idx="55">
                  <c:v>1.4318</c:v>
                </c:pt>
                <c:pt idx="56">
                  <c:v>1.40604</c:v>
                </c:pt>
                <c:pt idx="57">
                  <c:v>1.38028</c:v>
                </c:pt>
                <c:pt idx="58">
                  <c:v>1.3545199999999999</c:v>
                </c:pt>
                <c:pt idx="59">
                  <c:v>1.3287599999999991</c:v>
                </c:pt>
                <c:pt idx="60">
                  <c:v>1.302999999999999</c:v>
                </c:pt>
                <c:pt idx="61">
                  <c:v>1.1741999999999999</c:v>
                </c:pt>
                <c:pt idx="62">
                  <c:v>1.0453999999999999</c:v>
                </c:pt>
                <c:pt idx="63">
                  <c:v>0.91659999999999986</c:v>
                </c:pt>
                <c:pt idx="64">
                  <c:v>0.78779999999999983</c:v>
                </c:pt>
                <c:pt idx="65">
                  <c:v>0.65899999999999981</c:v>
                </c:pt>
                <c:pt idx="66">
                  <c:v>0.53019999999999978</c:v>
                </c:pt>
                <c:pt idx="67">
                  <c:v>0.40139999999999976</c:v>
                </c:pt>
                <c:pt idx="68">
                  <c:v>0.27259999999999973</c:v>
                </c:pt>
                <c:pt idx="69">
                  <c:v>0.14379999999999971</c:v>
                </c:pt>
                <c:pt idx="70">
                  <c:v>1.499999999999968E-2</c:v>
                </c:pt>
                <c:pt idx="71">
                  <c:v>-0.11380000000000035</c:v>
                </c:pt>
                <c:pt idx="72">
                  <c:v>-0.24260000000000037</c:v>
                </c:pt>
                <c:pt idx="73">
                  <c:v>-0.3714000000000004</c:v>
                </c:pt>
                <c:pt idx="74">
                  <c:v>-0.50020000000000042</c:v>
                </c:pt>
                <c:pt idx="75">
                  <c:v>-0.62900000000000134</c:v>
                </c:pt>
                <c:pt idx="76">
                  <c:v>-0.75780000000000136</c:v>
                </c:pt>
                <c:pt idx="77">
                  <c:v>-0.88659999999999961</c:v>
                </c:pt>
                <c:pt idx="78">
                  <c:v>-1.0153999999999996</c:v>
                </c:pt>
                <c:pt idx="79">
                  <c:v>-1.1441999999999997</c:v>
                </c:pt>
                <c:pt idx="80">
                  <c:v>-1.1699599999999997</c:v>
                </c:pt>
                <c:pt idx="81">
                  <c:v>-1.1957199999999997</c:v>
                </c:pt>
                <c:pt idx="82">
                  <c:v>-1.2214799999999997</c:v>
                </c:pt>
                <c:pt idx="83">
                  <c:v>-1.2472399999999997</c:v>
                </c:pt>
                <c:pt idx="84">
                  <c:v>-1.2729999999999997</c:v>
                </c:pt>
                <c:pt idx="85">
                  <c:v>-1.2595599999999996</c:v>
                </c:pt>
                <c:pt idx="86">
                  <c:v>-1.2461200000000003</c:v>
                </c:pt>
                <c:pt idx="87">
                  <c:v>-1.2326800000000002</c:v>
                </c:pt>
                <c:pt idx="88">
                  <c:v>-1.2192400000000001</c:v>
                </c:pt>
                <c:pt idx="89">
                  <c:v>-1.2058</c:v>
                </c:pt>
                <c:pt idx="90">
                  <c:v>-1.1386000000000003</c:v>
                </c:pt>
                <c:pt idx="91">
                  <c:v>-1.0713999999999997</c:v>
                </c:pt>
                <c:pt idx="92">
                  <c:v>-1.0042</c:v>
                </c:pt>
                <c:pt idx="93">
                  <c:v>-0.93699999999999939</c:v>
                </c:pt>
                <c:pt idx="94">
                  <c:v>-0.86979999999999968</c:v>
                </c:pt>
                <c:pt idx="95">
                  <c:v>-0.80259999999999998</c:v>
                </c:pt>
                <c:pt idx="96">
                  <c:v>-0.73539999999999939</c:v>
                </c:pt>
                <c:pt idx="97">
                  <c:v>-0.66820000000000057</c:v>
                </c:pt>
                <c:pt idx="98">
                  <c:v>-0.60099999999999998</c:v>
                </c:pt>
                <c:pt idx="99">
                  <c:v>-0.53380000000000027</c:v>
                </c:pt>
                <c:pt idx="100">
                  <c:v>-0.46659999999999968</c:v>
                </c:pt>
                <c:pt idx="101">
                  <c:v>-0.39939999999999998</c:v>
                </c:pt>
                <c:pt idx="102">
                  <c:v>-0.33220000000000027</c:v>
                </c:pt>
                <c:pt idx="103">
                  <c:v>-0.26499999999999968</c:v>
                </c:pt>
                <c:pt idx="104">
                  <c:v>-0.19779999999999998</c:v>
                </c:pt>
                <c:pt idx="105">
                  <c:v>-0.13059999999999938</c:v>
                </c:pt>
                <c:pt idx="106">
                  <c:v>-6.3399999999999679E-2</c:v>
                </c:pt>
                <c:pt idx="107">
                  <c:v>-4.995999999999956E-2</c:v>
                </c:pt>
                <c:pt idx="108">
                  <c:v>-3.6519999999999442E-2</c:v>
                </c:pt>
                <c:pt idx="109">
                  <c:v>-2.3079999999999323E-2</c:v>
                </c:pt>
                <c:pt idx="110">
                  <c:v>-9.6400000000000929E-3</c:v>
                </c:pt>
                <c:pt idx="111">
                  <c:v>3.8000000000000256E-3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FC-45B2-A688-EBAF1541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369880"/>
        <c:axId val="372371448"/>
      </c:scatterChart>
      <c:valAx>
        <c:axId val="372369880"/>
        <c:scaling>
          <c:orientation val="minMax"/>
          <c:max val="0.7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defRPr>
                </a:pP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x</a:t>
                </a:r>
                <a:r>
                  <a:rPr lang="en-US" altLang="ja-JP" baseline="0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 [m]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>
            <c:manualLayout>
              <c:xMode val="edge"/>
              <c:yMode val="edge"/>
              <c:x val="0.42473888438363799"/>
              <c:y val="0.910509259259258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ja-JP"/>
          </a:p>
        </c:txPr>
        <c:crossAx val="372371448"/>
        <c:crosses val="autoZero"/>
        <c:crossBetween val="midCat"/>
      </c:valAx>
      <c:valAx>
        <c:axId val="37237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モーメント</a:t>
                </a:r>
                <a:r>
                  <a:rPr lang="en-US" altLang="ja-JP">
                    <a:solidFill>
                      <a:schemeClr val="tx1"/>
                    </a:solidFill>
                    <a:latin typeface="Times New Roman" charset="0"/>
                    <a:ea typeface="Times New Roman" charset="0"/>
                    <a:cs typeface="Times New Roman" charset="0"/>
                  </a:rPr>
                  <a:t>M [N•m]</a:t>
                </a:r>
                <a:endParaRPr lang="ja-JP" altLang="en-US">
                  <a:solidFill>
                    <a:schemeClr val="tx1"/>
                  </a:solidFill>
                  <a:latin typeface="Times New Roman" charset="0"/>
                  <a:ea typeface="Times New Roman" charset="0"/>
                  <a:cs typeface="Times New Roman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ja-JP"/>
          </a:p>
        </c:txPr>
        <c:crossAx val="37236988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解析2!$C$25</c:f>
              <c:strCache>
                <c:ptCount val="1"/>
                <c:pt idx="0">
                  <c:v>孔径比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解析2!$C$26:$C$30</c:f>
              <c:numCache>
                <c:formatCode>0.000</c:formatCode>
                <c:ptCount val="5"/>
                <c:pt idx="0" formatCode="0.00">
                  <c:v>0.1</c:v>
                </c:pt>
                <c:pt idx="1">
                  <c:v>0.16666666666666669</c:v>
                </c:pt>
                <c:pt idx="2" formatCode="0.00">
                  <c:v>0.26666666666666666</c:v>
                </c:pt>
                <c:pt idx="3" formatCode="0.00">
                  <c:v>0.36666666666666664</c:v>
                </c:pt>
                <c:pt idx="4" formatCode="0.00">
                  <c:v>0.5</c:v>
                </c:pt>
              </c:numCache>
            </c:numRef>
          </c:xVal>
          <c:yVal>
            <c:numRef>
              <c:f>解析2!$B$26:$B$30</c:f>
              <c:numCache>
                <c:formatCode>General</c:formatCode>
                <c:ptCount val="5"/>
                <c:pt idx="0">
                  <c:v>2.62</c:v>
                </c:pt>
                <c:pt idx="1">
                  <c:v>2.48</c:v>
                </c:pt>
                <c:pt idx="2">
                  <c:v>2.3199999999999998</c:v>
                </c:pt>
                <c:pt idx="3">
                  <c:v>2.19</c:v>
                </c:pt>
                <c:pt idx="4">
                  <c:v>2.12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B6-46E1-933B-C1AF4E89C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30480"/>
        <c:axId val="413831656"/>
      </c:scatterChart>
      <c:valAx>
        <c:axId val="4138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3831656"/>
        <c:crosses val="autoZero"/>
        <c:crossBetween val="midCat"/>
      </c:valAx>
      <c:valAx>
        <c:axId val="41383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3830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解析2!$C$32</c:f>
              <c:strCache>
                <c:ptCount val="1"/>
                <c:pt idx="0">
                  <c:v>要素数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解析2!$C$33:$C$36</c:f>
              <c:numCache>
                <c:formatCode>General</c:formatCode>
                <c:ptCount val="4"/>
                <c:pt idx="0">
                  <c:v>805</c:v>
                </c:pt>
                <c:pt idx="1">
                  <c:v>251</c:v>
                </c:pt>
                <c:pt idx="2">
                  <c:v>48</c:v>
                </c:pt>
                <c:pt idx="3">
                  <c:v>20</c:v>
                </c:pt>
              </c:numCache>
            </c:numRef>
          </c:xVal>
          <c:yVal>
            <c:numRef>
              <c:f>解析2!$B$33:$B$36</c:f>
              <c:numCache>
                <c:formatCode>0.00</c:formatCode>
                <c:ptCount val="4"/>
                <c:pt idx="0">
                  <c:v>2.2356666666666669</c:v>
                </c:pt>
                <c:pt idx="1">
                  <c:v>2.1850000000000001</c:v>
                </c:pt>
                <c:pt idx="2">
                  <c:v>2.121666666666667</c:v>
                </c:pt>
                <c:pt idx="3">
                  <c:v>2.1913333333333336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52-4395-B254-297CB2BF8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571384"/>
        <c:axId val="411570992"/>
      </c:scatterChart>
      <c:valAx>
        <c:axId val="411571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1570992"/>
        <c:crosses val="autoZero"/>
        <c:crossBetween val="midCat"/>
      </c:valAx>
      <c:valAx>
        <c:axId val="411570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157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11</xdr:row>
      <xdr:rowOff>47624</xdr:rowOff>
    </xdr:from>
    <xdr:to>
      <xdr:col>7</xdr:col>
      <xdr:colOff>47625</xdr:colOff>
      <xdr:row>28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583406</xdr:colOff>
      <xdr:row>11</xdr:row>
      <xdr:rowOff>47624</xdr:rowOff>
    </xdr:from>
    <xdr:to>
      <xdr:col>15</xdr:col>
      <xdr:colOff>23812</xdr:colOff>
      <xdr:row>27</xdr:row>
      <xdr:rowOff>186928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29</xdr:row>
          <xdr:rowOff>123825</xdr:rowOff>
        </xdr:from>
        <xdr:to>
          <xdr:col>2</xdr:col>
          <xdr:colOff>933450</xdr:colOff>
          <xdr:row>31</xdr:row>
          <xdr:rowOff>209550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485774</xdr:colOff>
      <xdr:row>44</xdr:row>
      <xdr:rowOff>43815</xdr:rowOff>
    </xdr:from>
    <xdr:to>
      <xdr:col>3</xdr:col>
      <xdr:colOff>609599</xdr:colOff>
      <xdr:row>55</xdr:row>
      <xdr:rowOff>76200</xdr:rowOff>
    </xdr:to>
    <xdr:graphicFrame macro="">
      <xdr:nvGraphicFramePr>
        <xdr:cNvPr id="17" name="グラフ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485775</xdr:colOff>
      <xdr:row>34</xdr:row>
      <xdr:rowOff>85725</xdr:rowOff>
    </xdr:from>
    <xdr:to>
      <xdr:col>3</xdr:col>
      <xdr:colOff>600075</xdr:colOff>
      <xdr:row>43</xdr:row>
      <xdr:rowOff>171450</xdr:rowOff>
    </xdr:to>
    <xdr:graphicFrame macro="">
      <xdr:nvGraphicFramePr>
        <xdr:cNvPr id="18" name="グラフ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1219199</xdr:colOff>
      <xdr:row>34</xdr:row>
      <xdr:rowOff>76200</xdr:rowOff>
    </xdr:from>
    <xdr:to>
      <xdr:col>7</xdr:col>
      <xdr:colOff>1181099</xdr:colOff>
      <xdr:row>43</xdr:row>
      <xdr:rowOff>180975</xdr:rowOff>
    </xdr:to>
    <xdr:graphicFrame macro="">
      <xdr:nvGraphicFramePr>
        <xdr:cNvPr id="19" name="グラフ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1247774</xdr:colOff>
      <xdr:row>44</xdr:row>
      <xdr:rowOff>47625</xdr:rowOff>
    </xdr:from>
    <xdr:to>
      <xdr:col>7</xdr:col>
      <xdr:colOff>1190624</xdr:colOff>
      <xdr:row>55</xdr:row>
      <xdr:rowOff>171450</xdr:rowOff>
    </xdr:to>
    <xdr:graphicFrame macro="">
      <xdr:nvGraphicFramePr>
        <xdr:cNvPr id="20" name="グラフ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50132</xdr:colOff>
      <xdr:row>34</xdr:row>
      <xdr:rowOff>83553</xdr:rowOff>
    </xdr:from>
    <xdr:to>
      <xdr:col>16</xdr:col>
      <xdr:colOff>29411</xdr:colOff>
      <xdr:row>43</xdr:row>
      <xdr:rowOff>162093</xdr:rowOff>
    </xdr:to>
    <xdr:graphicFrame macro="">
      <xdr:nvGraphicFramePr>
        <xdr:cNvPr id="22" name="グラフ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44</xdr:row>
      <xdr:rowOff>100263</xdr:rowOff>
    </xdr:from>
    <xdr:to>
      <xdr:col>15</xdr:col>
      <xdr:colOff>1600200</xdr:colOff>
      <xdr:row>55</xdr:row>
      <xdr:rowOff>203835</xdr:rowOff>
    </xdr:to>
    <xdr:graphicFrame macro="">
      <xdr:nvGraphicFramePr>
        <xdr:cNvPr id="23" name="グラフ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187159</xdr:colOff>
      <xdr:row>34</xdr:row>
      <xdr:rowOff>65506</xdr:rowOff>
    </xdr:from>
    <xdr:to>
      <xdr:col>11</xdr:col>
      <xdr:colOff>1570789</xdr:colOff>
      <xdr:row>43</xdr:row>
      <xdr:rowOff>217237</xdr:rowOff>
    </xdr:to>
    <xdr:graphicFrame macro="">
      <xdr:nvGraphicFramePr>
        <xdr:cNvPr id="21" name="グラフ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203868</xdr:colOff>
      <xdr:row>44</xdr:row>
      <xdr:rowOff>82216</xdr:rowOff>
    </xdr:from>
    <xdr:to>
      <xdr:col>11</xdr:col>
      <xdr:colOff>1604209</xdr:colOff>
      <xdr:row>55</xdr:row>
      <xdr:rowOff>150394</xdr:rowOff>
    </xdr:to>
    <xdr:graphicFrame macro="">
      <xdr:nvGraphicFramePr>
        <xdr:cNvPr id="24" name="グラフ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57150</xdr:rowOff>
        </xdr:from>
        <xdr:to>
          <xdr:col>2</xdr:col>
          <xdr:colOff>1123950</xdr:colOff>
          <xdr:row>13</xdr:row>
          <xdr:rowOff>161925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1</xdr:row>
      <xdr:rowOff>12700</xdr:rowOff>
    </xdr:from>
    <xdr:to>
      <xdr:col>11</xdr:col>
      <xdr:colOff>863600</xdr:colOff>
      <xdr:row>16</xdr:row>
      <xdr:rowOff>50800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6350</xdr:colOff>
      <xdr:row>16</xdr:row>
      <xdr:rowOff>222250</xdr:rowOff>
    </xdr:from>
    <xdr:to>
      <xdr:col>11</xdr:col>
      <xdr:colOff>850900</xdr:colOff>
      <xdr:row>28</xdr:row>
      <xdr:rowOff>222250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15</xdr:row>
      <xdr:rowOff>190499</xdr:rowOff>
    </xdr:from>
    <xdr:to>
      <xdr:col>13</xdr:col>
      <xdr:colOff>571500</xdr:colOff>
      <xdr:row>29</xdr:row>
      <xdr:rowOff>190499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571500</xdr:colOff>
      <xdr:row>31</xdr:row>
      <xdr:rowOff>0</xdr:rowOff>
    </xdr:from>
    <xdr:to>
      <xdr:col>14</xdr:col>
      <xdr:colOff>0</xdr:colOff>
      <xdr:row>43</xdr:row>
      <xdr:rowOff>142875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85725</xdr:rowOff>
        </xdr:from>
        <xdr:to>
          <xdr:col>3</xdr:col>
          <xdr:colOff>419100</xdr:colOff>
          <xdr:row>13</xdr:row>
          <xdr:rowOff>133350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85"/>
  <sheetViews>
    <sheetView zoomScale="91" zoomScaleNormal="91" workbookViewId="0">
      <selection activeCell="F7" sqref="F7"/>
    </sheetView>
  </sheetViews>
  <sheetFormatPr defaultColWidth="8.875" defaultRowHeight="15"/>
  <cols>
    <col min="1" max="2" width="8.875" style="40"/>
    <col min="3" max="3" width="24.875" style="40" customWidth="1"/>
    <col min="4" max="4" width="21.75" style="40" customWidth="1"/>
    <col min="5" max="5" width="13.125" style="40" customWidth="1"/>
    <col min="6" max="6" width="16.125" style="40" customWidth="1"/>
    <col min="7" max="7" width="8.875" style="40"/>
    <col min="8" max="8" width="16.125" style="40" customWidth="1"/>
    <col min="9" max="9" width="8.875" style="40"/>
    <col min="10" max="10" width="14.25" style="40" customWidth="1"/>
    <col min="11" max="11" width="8.875" style="40"/>
    <col min="12" max="12" width="11.125" style="40" customWidth="1"/>
    <col min="13" max="13" width="8.875" style="40"/>
    <col min="14" max="14" width="12" style="40" customWidth="1"/>
    <col min="15" max="16384" width="8.875" style="40"/>
  </cols>
  <sheetData>
    <row r="1" spans="1:10" ht="15.75" thickBot="1">
      <c r="A1" s="167" t="s">
        <v>61</v>
      </c>
      <c r="B1" s="168"/>
    </row>
    <row r="3" spans="1:10">
      <c r="B3" s="164" t="s">
        <v>55</v>
      </c>
      <c r="C3" s="48" t="s">
        <v>56</v>
      </c>
      <c r="D3" s="171" t="s">
        <v>64</v>
      </c>
      <c r="E3" s="172"/>
      <c r="F3" s="172"/>
      <c r="G3" s="172"/>
      <c r="H3" s="172"/>
      <c r="I3" s="172"/>
      <c r="J3" s="172"/>
    </row>
    <row r="4" spans="1:10">
      <c r="B4" s="164"/>
      <c r="C4" s="37" t="s">
        <v>63</v>
      </c>
      <c r="D4" s="172"/>
      <c r="E4" s="172"/>
      <c r="F4" s="172"/>
      <c r="G4" s="172"/>
      <c r="H4" s="172"/>
      <c r="I4" s="172"/>
      <c r="J4" s="172"/>
    </row>
    <row r="5" spans="1:10">
      <c r="B5" s="57"/>
      <c r="C5" s="68"/>
      <c r="D5" s="69"/>
      <c r="E5" s="69"/>
      <c r="F5" s="69"/>
      <c r="G5" s="69"/>
      <c r="H5" s="69"/>
      <c r="I5" s="69"/>
      <c r="J5" s="69"/>
    </row>
    <row r="6" spans="1:10">
      <c r="A6" s="169" t="s">
        <v>77</v>
      </c>
      <c r="B6" s="169"/>
      <c r="C6" s="68"/>
      <c r="D6" s="69"/>
      <c r="E6" s="69"/>
      <c r="F6" s="69"/>
      <c r="G6" s="69"/>
      <c r="H6" s="69"/>
      <c r="I6" s="69"/>
      <c r="J6" s="69"/>
    </row>
    <row r="7" spans="1:10">
      <c r="A7" s="68"/>
      <c r="B7" s="68" t="s">
        <v>84</v>
      </c>
      <c r="C7" s="68"/>
      <c r="D7" s="69"/>
      <c r="E7" s="69"/>
      <c r="F7" s="69"/>
      <c r="G7" s="69"/>
      <c r="H7" s="69"/>
      <c r="I7" s="69"/>
      <c r="J7" s="69"/>
    </row>
    <row r="8" spans="1:10" ht="15.75" thickBot="1">
      <c r="A8" s="36"/>
      <c r="B8" s="38" t="s">
        <v>78</v>
      </c>
      <c r="C8" s="38" t="s">
        <v>58</v>
      </c>
      <c r="D8" s="38" t="s">
        <v>80</v>
      </c>
      <c r="E8" s="69"/>
      <c r="F8" s="69"/>
      <c r="G8" s="69"/>
      <c r="H8" s="69"/>
      <c r="I8" s="69"/>
      <c r="J8" s="69"/>
    </row>
    <row r="9" spans="1:10" ht="15.75" thickTop="1">
      <c r="B9" s="39" t="s">
        <v>79</v>
      </c>
      <c r="C9" s="34">
        <v>207</v>
      </c>
      <c r="D9" s="34">
        <v>0.3</v>
      </c>
      <c r="E9" s="69"/>
      <c r="F9" s="69"/>
      <c r="G9" s="69"/>
      <c r="H9" s="69"/>
      <c r="I9" s="69"/>
      <c r="J9" s="69"/>
    </row>
    <row r="10" spans="1:10">
      <c r="B10" s="166" t="s">
        <v>85</v>
      </c>
      <c r="C10" s="166"/>
      <c r="D10" s="166"/>
      <c r="E10" s="69"/>
      <c r="F10" s="69"/>
      <c r="G10" s="69"/>
      <c r="H10" s="69"/>
      <c r="I10" s="69"/>
      <c r="J10" s="69"/>
    </row>
    <row r="11" spans="1:10" ht="15.75" thickBot="1">
      <c r="B11" s="38" t="s">
        <v>78</v>
      </c>
      <c r="C11" s="38" t="s">
        <v>58</v>
      </c>
      <c r="D11" s="38" t="s">
        <v>80</v>
      </c>
      <c r="E11" s="69"/>
      <c r="F11" s="69"/>
      <c r="G11" s="69"/>
      <c r="H11" s="69"/>
      <c r="I11" s="69"/>
      <c r="J11" s="69"/>
    </row>
    <row r="12" spans="1:10" ht="15.75" thickTop="1">
      <c r="B12" s="39" t="s">
        <v>79</v>
      </c>
      <c r="C12" s="34">
        <v>206</v>
      </c>
      <c r="D12" s="34">
        <v>0.3</v>
      </c>
      <c r="E12" s="69"/>
      <c r="F12" s="69"/>
      <c r="G12" s="69"/>
      <c r="H12" s="69"/>
      <c r="I12" s="69"/>
      <c r="J12" s="69"/>
    </row>
    <row r="13" spans="1:10">
      <c r="B13" s="166" t="s">
        <v>118</v>
      </c>
      <c r="C13" s="166"/>
      <c r="D13" s="166"/>
      <c r="E13" s="69"/>
      <c r="F13" s="69"/>
      <c r="G13" s="69"/>
      <c r="H13" s="69"/>
      <c r="I13" s="69"/>
      <c r="J13" s="69"/>
    </row>
    <row r="14" spans="1:10" ht="15.75" thickBot="1">
      <c r="B14" s="38" t="s">
        <v>78</v>
      </c>
      <c r="C14" s="38" t="s">
        <v>58</v>
      </c>
      <c r="D14" s="38" t="s">
        <v>80</v>
      </c>
      <c r="E14" s="69"/>
      <c r="F14" s="69"/>
      <c r="G14" s="69"/>
      <c r="H14" s="69"/>
      <c r="I14" s="69"/>
      <c r="J14" s="69"/>
    </row>
    <row r="15" spans="1:10" ht="15.75" thickTop="1">
      <c r="B15" s="39" t="s">
        <v>79</v>
      </c>
      <c r="C15" s="34">
        <v>206</v>
      </c>
      <c r="D15" s="34">
        <v>0.3</v>
      </c>
      <c r="E15" s="69"/>
      <c r="F15" s="69"/>
      <c r="G15" s="69"/>
      <c r="H15" s="69"/>
      <c r="I15" s="69"/>
      <c r="J15" s="69"/>
    </row>
    <row r="16" spans="1:10">
      <c r="B16" s="57"/>
      <c r="C16" s="68"/>
      <c r="D16" s="69"/>
      <c r="E16" s="69"/>
      <c r="F16" s="69"/>
      <c r="G16" s="69"/>
      <c r="H16" s="69"/>
      <c r="I16" s="69"/>
      <c r="J16" s="69"/>
    </row>
    <row r="17" spans="1:14">
      <c r="A17" s="177" t="s">
        <v>86</v>
      </c>
      <c r="B17" s="177"/>
      <c r="C17" s="68"/>
      <c r="D17" s="69"/>
      <c r="E17" s="69"/>
      <c r="F17" s="69"/>
      <c r="G17" s="69"/>
      <c r="H17" s="69"/>
      <c r="I17" s="69"/>
      <c r="J17" s="69"/>
    </row>
    <row r="18" spans="1:14" ht="15.75" thickBot="1">
      <c r="B18" s="1" t="s">
        <v>87</v>
      </c>
      <c r="C18" s="89" t="s">
        <v>98</v>
      </c>
      <c r="D18" s="90" t="s">
        <v>89</v>
      </c>
      <c r="E18" s="90" t="s">
        <v>90</v>
      </c>
      <c r="F18" s="69"/>
      <c r="G18" s="69"/>
      <c r="H18" s="69"/>
      <c r="I18" s="69"/>
      <c r="J18" s="69"/>
    </row>
    <row r="19" spans="1:14" ht="15.75" thickTop="1">
      <c r="B19" s="2"/>
      <c r="C19" s="56">
        <v>0.5</v>
      </c>
      <c r="D19" s="91">
        <f>'実験1-荷重とたわみの測定結果'!D8</f>
        <v>30.289000000000001</v>
      </c>
      <c r="E19" s="91">
        <f>'実験1-荷重とたわみの測定結果'!E8</f>
        <v>30.283999999999999</v>
      </c>
      <c r="F19" s="69"/>
      <c r="G19" s="69"/>
      <c r="H19" s="69"/>
      <c r="I19" s="69"/>
      <c r="J19" s="69"/>
    </row>
    <row r="20" spans="1:14">
      <c r="B20" s="57"/>
      <c r="C20" s="68"/>
      <c r="D20" s="69"/>
      <c r="E20" s="69"/>
      <c r="F20" s="69"/>
      <c r="G20" s="69"/>
      <c r="H20" s="69"/>
      <c r="I20" s="69"/>
      <c r="J20" s="69"/>
    </row>
    <row r="21" spans="1:14">
      <c r="A21" s="176" t="s">
        <v>50</v>
      </c>
      <c r="B21" s="176"/>
      <c r="C21" s="176"/>
      <c r="D21" s="69"/>
      <c r="E21" s="69"/>
      <c r="F21" s="69"/>
      <c r="G21" s="69"/>
      <c r="H21" s="69"/>
      <c r="I21" s="69"/>
      <c r="J21" s="69"/>
    </row>
    <row r="22" spans="1:14">
      <c r="B22" s="41"/>
      <c r="C22" s="173" t="s">
        <v>71</v>
      </c>
      <c r="D22" s="174"/>
      <c r="E22" s="173" t="s">
        <v>74</v>
      </c>
      <c r="F22" s="174"/>
      <c r="G22" s="173" t="s">
        <v>75</v>
      </c>
      <c r="H22" s="174"/>
      <c r="I22" s="173" t="s">
        <v>76</v>
      </c>
      <c r="J22" s="174"/>
      <c r="K22" s="173" t="s">
        <v>72</v>
      </c>
      <c r="L22" s="174"/>
      <c r="M22" s="173" t="s">
        <v>73</v>
      </c>
      <c r="N22" s="174"/>
    </row>
    <row r="23" spans="1:14" ht="15.75" thickBot="1">
      <c r="B23" s="1" t="s">
        <v>0</v>
      </c>
      <c r="C23" s="1" t="s">
        <v>1</v>
      </c>
      <c r="D23" s="1" t="s">
        <v>2</v>
      </c>
      <c r="E23" s="1" t="s">
        <v>1</v>
      </c>
      <c r="F23" s="1" t="s">
        <v>2</v>
      </c>
      <c r="G23" s="1" t="s">
        <v>1</v>
      </c>
      <c r="H23" s="1" t="s">
        <v>2</v>
      </c>
      <c r="I23" s="1" t="s">
        <v>1</v>
      </c>
      <c r="J23" s="1" t="s">
        <v>2</v>
      </c>
      <c r="K23" s="1" t="s">
        <v>1</v>
      </c>
      <c r="L23" s="1" t="s">
        <v>2</v>
      </c>
      <c r="M23" s="1" t="s">
        <v>1</v>
      </c>
      <c r="N23" s="1" t="s">
        <v>2</v>
      </c>
    </row>
    <row r="24" spans="1:14" ht="15.75" thickTop="1">
      <c r="B24" s="2">
        <v>1</v>
      </c>
      <c r="C24" s="34">
        <v>20</v>
      </c>
      <c r="D24" s="34">
        <v>5.94</v>
      </c>
      <c r="E24" s="34">
        <v>21.9</v>
      </c>
      <c r="F24" s="34">
        <v>5.94</v>
      </c>
      <c r="G24" s="34">
        <v>21.9</v>
      </c>
      <c r="H24" s="34">
        <v>5.94</v>
      </c>
      <c r="I24" s="34">
        <v>21.9</v>
      </c>
      <c r="J24" s="34">
        <v>5</v>
      </c>
      <c r="K24" s="70">
        <f>AVERAGE(C24,E24,G24,I24)</f>
        <v>21.424999999999997</v>
      </c>
      <c r="L24" s="70">
        <f>AVERAGE(D24,F24,H24,J24)</f>
        <v>5.7050000000000001</v>
      </c>
      <c r="M24" s="70">
        <f t="shared" ref="M24:N26" si="0">_xlfn.VAR.S(C24,E24,G24,I24)</f>
        <v>0.90249999999999853</v>
      </c>
      <c r="N24" s="70">
        <f t="shared" si="0"/>
        <v>0.22090000000000018</v>
      </c>
    </row>
    <row r="25" spans="1:14">
      <c r="B25" s="3">
        <v>2</v>
      </c>
      <c r="C25" s="35">
        <v>31.88</v>
      </c>
      <c r="D25" s="35">
        <v>4.9400000000000004</v>
      </c>
      <c r="E25" s="35">
        <v>31.88</v>
      </c>
      <c r="F25" s="35">
        <v>4.9400000000000004</v>
      </c>
      <c r="G25" s="73">
        <v>31.88</v>
      </c>
      <c r="H25" s="35">
        <v>4.9400000000000004</v>
      </c>
      <c r="I25" s="35">
        <v>31.88</v>
      </c>
      <c r="J25" s="35">
        <v>4.9400000000000004</v>
      </c>
      <c r="K25" s="70">
        <f t="shared" ref="K25:K26" si="1">AVERAGE(C25,E25,G25,I25)</f>
        <v>31.88</v>
      </c>
      <c r="L25" s="70">
        <f t="shared" ref="L25:L26" si="2">AVERAGE(D25,F25,H25,J25)</f>
        <v>4.9400000000000004</v>
      </c>
      <c r="M25" s="70">
        <f t="shared" si="0"/>
        <v>0</v>
      </c>
      <c r="N25" s="70">
        <f t="shared" si="0"/>
        <v>0</v>
      </c>
    </row>
    <row r="26" spans="1:14">
      <c r="B26" s="3">
        <v>3</v>
      </c>
      <c r="C26" s="35">
        <v>31.9</v>
      </c>
      <c r="D26" s="35">
        <v>4.9400000000000004</v>
      </c>
      <c r="E26" s="35">
        <v>31.9</v>
      </c>
      <c r="F26" s="35">
        <v>4.95</v>
      </c>
      <c r="G26" s="35">
        <v>31.9</v>
      </c>
      <c r="H26" s="35">
        <v>4.95</v>
      </c>
      <c r="I26" s="35">
        <v>31.2</v>
      </c>
      <c r="J26" s="35">
        <v>4</v>
      </c>
      <c r="K26" s="70">
        <f t="shared" si="1"/>
        <v>31.724999999999998</v>
      </c>
      <c r="L26" s="70">
        <f t="shared" si="2"/>
        <v>4.71</v>
      </c>
      <c r="M26" s="70">
        <f t="shared" si="0"/>
        <v>0.12249999999999976</v>
      </c>
      <c r="N26" s="70">
        <f t="shared" si="0"/>
        <v>0.22406666666666678</v>
      </c>
    </row>
    <row r="28" spans="1:14">
      <c r="A28" s="176" t="s">
        <v>50</v>
      </c>
      <c r="B28" s="176"/>
      <c r="C28" s="176"/>
    </row>
    <row r="29" spans="1:14">
      <c r="B29" s="41"/>
      <c r="C29" s="175" t="s">
        <v>51</v>
      </c>
      <c r="D29" s="174"/>
      <c r="E29" s="175" t="s">
        <v>52</v>
      </c>
      <c r="F29" s="174"/>
      <c r="G29" s="164" t="s">
        <v>53</v>
      </c>
      <c r="H29" s="164"/>
      <c r="I29" s="175" t="s">
        <v>54</v>
      </c>
      <c r="J29" s="174"/>
    </row>
    <row r="30" spans="1:14" ht="15.75" thickBot="1">
      <c r="B30" s="1" t="s">
        <v>0</v>
      </c>
      <c r="C30" s="1" t="s">
        <v>1</v>
      </c>
      <c r="D30" s="1" t="s">
        <v>2</v>
      </c>
      <c r="E30" s="1" t="s">
        <v>1</v>
      </c>
      <c r="F30" s="1" t="s">
        <v>2</v>
      </c>
      <c r="G30" s="1" t="s">
        <v>1</v>
      </c>
      <c r="H30" s="1" t="s">
        <v>2</v>
      </c>
      <c r="I30" s="1" t="s">
        <v>1</v>
      </c>
      <c r="J30" s="1" t="s">
        <v>2</v>
      </c>
    </row>
    <row r="31" spans="1:14" ht="15.75" thickTop="1">
      <c r="B31" s="2">
        <v>1</v>
      </c>
      <c r="C31" s="70">
        <f>K24</f>
        <v>21.424999999999997</v>
      </c>
      <c r="D31" s="70">
        <f>L24</f>
        <v>5.7050000000000001</v>
      </c>
      <c r="E31" s="71">
        <v>20</v>
      </c>
      <c r="F31" s="72">
        <v>6</v>
      </c>
      <c r="G31" s="42">
        <f>C31-E31</f>
        <v>1.4249999999999972</v>
      </c>
      <c r="H31" s="43">
        <f>D31-F31</f>
        <v>-0.29499999999999993</v>
      </c>
      <c r="I31" s="44">
        <f>G31/E31</f>
        <v>7.1249999999999855E-2</v>
      </c>
      <c r="J31" s="44">
        <f>H31/F31</f>
        <v>-4.9166666666666657E-2</v>
      </c>
    </row>
    <row r="32" spans="1:14">
      <c r="B32" s="3">
        <v>2</v>
      </c>
      <c r="C32" s="29">
        <f>K25</f>
        <v>31.88</v>
      </c>
      <c r="D32" s="70">
        <f t="shared" ref="D32:D33" si="3">L25</f>
        <v>4.9400000000000004</v>
      </c>
      <c r="E32" s="73">
        <v>32</v>
      </c>
      <c r="F32" s="74">
        <v>5</v>
      </c>
      <c r="G32" s="45">
        <f t="shared" ref="G32:G33" si="4">C32-E32</f>
        <v>-0.12000000000000099</v>
      </c>
      <c r="H32" s="46">
        <f t="shared" ref="H32:H33" si="5">D32-F32</f>
        <v>-5.9999999999999609E-2</v>
      </c>
      <c r="I32" s="47">
        <f t="shared" ref="I32:I33" si="6">G32/E32</f>
        <v>-3.7500000000000311E-3</v>
      </c>
      <c r="J32" s="47">
        <f t="shared" ref="J32:J33" si="7">H32/F32</f>
        <v>-1.1999999999999922E-2</v>
      </c>
    </row>
    <row r="33" spans="1:13">
      <c r="B33" s="3">
        <v>3</v>
      </c>
      <c r="C33" s="29">
        <f>K26</f>
        <v>31.724999999999998</v>
      </c>
      <c r="D33" s="70">
        <f t="shared" si="3"/>
        <v>4.71</v>
      </c>
      <c r="E33" s="73">
        <v>32</v>
      </c>
      <c r="F33" s="74">
        <v>5</v>
      </c>
      <c r="G33" s="45">
        <f t="shared" si="4"/>
        <v>-0.27500000000000213</v>
      </c>
      <c r="H33" s="46">
        <f t="shared" si="5"/>
        <v>-0.29000000000000004</v>
      </c>
      <c r="I33" s="47">
        <f t="shared" si="6"/>
        <v>-8.5937500000000666E-3</v>
      </c>
      <c r="J33" s="47">
        <f t="shared" si="7"/>
        <v>-5.800000000000001E-2</v>
      </c>
    </row>
    <row r="34" spans="1:13">
      <c r="M34" s="53"/>
    </row>
    <row r="35" spans="1:13">
      <c r="A35" s="169" t="s">
        <v>59</v>
      </c>
      <c r="B35" s="176"/>
      <c r="C35" s="176"/>
    </row>
    <row r="36" spans="1:13" ht="18.75" customHeight="1">
      <c r="B36" s="40" t="s">
        <v>82</v>
      </c>
    </row>
    <row r="37" spans="1:13">
      <c r="B37" s="41"/>
      <c r="C37" s="173" t="s">
        <v>48</v>
      </c>
      <c r="D37" s="174"/>
      <c r="E37" s="175" t="s">
        <v>52</v>
      </c>
      <c r="F37" s="174"/>
      <c r="G37" s="175" t="s">
        <v>53</v>
      </c>
      <c r="H37" s="174"/>
      <c r="I37" s="175" t="s">
        <v>54</v>
      </c>
      <c r="J37" s="174"/>
    </row>
    <row r="38" spans="1:13" ht="18.75" thickBot="1">
      <c r="B38" s="1" t="s">
        <v>0</v>
      </c>
      <c r="C38" s="1" t="s">
        <v>57</v>
      </c>
      <c r="D38" s="38" t="s">
        <v>88</v>
      </c>
      <c r="E38" s="1" t="s">
        <v>57</v>
      </c>
      <c r="F38" s="38" t="s">
        <v>88</v>
      </c>
      <c r="G38" s="1" t="s">
        <v>57</v>
      </c>
      <c r="H38" s="38" t="s">
        <v>88</v>
      </c>
      <c r="I38" s="1" t="s">
        <v>57</v>
      </c>
      <c r="J38" s="38" t="s">
        <v>88</v>
      </c>
    </row>
    <row r="39" spans="1:13" ht="15.75" thickTop="1">
      <c r="B39" s="2">
        <v>1</v>
      </c>
      <c r="C39" s="52">
        <f>(C31*(D31^3))/12</f>
        <v>331.51755505130205</v>
      </c>
      <c r="D39" s="75">
        <f>($D$19*(10^3)*($C$19^3)/(48*(C39*(10^(-12)))))/(10^9)</f>
        <v>237.92889083795407</v>
      </c>
      <c r="E39" s="75">
        <f>(E31*(F31^3))/12</f>
        <v>360</v>
      </c>
      <c r="F39" s="51">
        <f>$C$9</f>
        <v>207</v>
      </c>
      <c r="G39" s="76">
        <f>C39-E39</f>
        <v>-28.482444948697946</v>
      </c>
      <c r="H39" s="77">
        <f>D39-F39</f>
        <v>30.928890837954071</v>
      </c>
      <c r="I39" s="44">
        <f>G39/E39</f>
        <v>-7.9117902635272075E-2</v>
      </c>
      <c r="J39" s="44">
        <f>H39/F39</f>
        <v>0.14941493158431918</v>
      </c>
    </row>
    <row r="40" spans="1:13">
      <c r="A40" s="49"/>
      <c r="B40" s="2">
        <v>2</v>
      </c>
      <c r="C40" s="52">
        <f>(C32*(D32^3))/12</f>
        <v>320.27121949333343</v>
      </c>
      <c r="D40" s="75">
        <f t="shared" ref="D40:D41" si="8">($D$19*(10^3)*($C$19^3)/(48*(C40*(10^(-12)))))/(10^9)</f>
        <v>246.28377252083538</v>
      </c>
      <c r="E40" s="75">
        <f>(E32*(F32^3))/12</f>
        <v>333.33333333333331</v>
      </c>
      <c r="F40" s="33">
        <f t="shared" ref="F40:F41" si="9">$C$9</f>
        <v>207</v>
      </c>
      <c r="G40" s="76">
        <f t="shared" ref="G40:G41" si="10">C40-E40</f>
        <v>-13.062113839999881</v>
      </c>
      <c r="H40" s="77">
        <f t="shared" ref="H40:H41" si="11">D40-F40</f>
        <v>39.283772520835385</v>
      </c>
      <c r="I40" s="44">
        <f t="shared" ref="I40:I41" si="12">G40/E40</f>
        <v>-3.9186341519999647E-2</v>
      </c>
      <c r="J40" s="44">
        <f t="shared" ref="J40:J41" si="13">H40/F40</f>
        <v>0.18977667884461538</v>
      </c>
    </row>
    <row r="41" spans="1:13">
      <c r="A41" s="50"/>
      <c r="B41" s="2">
        <v>3</v>
      </c>
      <c r="C41" s="52">
        <f>(C33*(D33^3))/12</f>
        <v>276.23779970624997</v>
      </c>
      <c r="D41" s="75">
        <f t="shared" si="8"/>
        <v>285.54239952151647</v>
      </c>
      <c r="E41" s="75">
        <f>(E33*(F33^3))/12</f>
        <v>333.33333333333331</v>
      </c>
      <c r="F41" s="33">
        <f t="shared" si="9"/>
        <v>207</v>
      </c>
      <c r="G41" s="76">
        <f t="shared" si="10"/>
        <v>-57.095533627083341</v>
      </c>
      <c r="H41" s="77">
        <f t="shared" si="11"/>
        <v>78.542399521516472</v>
      </c>
      <c r="I41" s="44">
        <f t="shared" si="12"/>
        <v>-0.17128660088125003</v>
      </c>
      <c r="J41" s="44">
        <f t="shared" si="13"/>
        <v>0.37943188174645637</v>
      </c>
    </row>
    <row r="42" spans="1:13">
      <c r="A42" s="49"/>
      <c r="B42" s="40" t="s">
        <v>83</v>
      </c>
      <c r="C42" s="49"/>
    </row>
    <row r="43" spans="1:13">
      <c r="A43" s="49"/>
      <c r="B43" s="41"/>
      <c r="C43" s="173" t="s">
        <v>33</v>
      </c>
      <c r="D43" s="174"/>
      <c r="E43" s="175" t="s">
        <v>52</v>
      </c>
      <c r="F43" s="174"/>
      <c r="G43" s="175" t="s">
        <v>53</v>
      </c>
      <c r="H43" s="174"/>
      <c r="I43" s="175" t="s">
        <v>54</v>
      </c>
      <c r="J43" s="174"/>
    </row>
    <row r="44" spans="1:13" ht="18.75" thickBot="1">
      <c r="A44" s="49"/>
      <c r="B44" s="1" t="s">
        <v>0</v>
      </c>
      <c r="C44" s="1" t="s">
        <v>57</v>
      </c>
      <c r="D44" s="38" t="s">
        <v>58</v>
      </c>
      <c r="E44" s="1" t="s">
        <v>57</v>
      </c>
      <c r="F44" s="38" t="s">
        <v>58</v>
      </c>
      <c r="G44" s="1" t="s">
        <v>57</v>
      </c>
      <c r="H44" s="38" t="s">
        <v>58</v>
      </c>
      <c r="I44" s="1" t="s">
        <v>57</v>
      </c>
      <c r="J44" s="38" t="s">
        <v>58</v>
      </c>
    </row>
    <row r="45" spans="1:13" ht="15.75" thickTop="1">
      <c r="A45" s="49"/>
      <c r="B45" s="2">
        <v>1</v>
      </c>
      <c r="C45" s="52">
        <f>C39</f>
        <v>331.51755505130205</v>
      </c>
      <c r="D45" s="75">
        <f>($E$19*(10^3)*($C$19^3)/(48*(C45*(10^(-12)))))/(10^9)</f>
        <v>237.88961438596854</v>
      </c>
      <c r="E45" s="75">
        <f>E39</f>
        <v>360</v>
      </c>
      <c r="F45" s="51">
        <f>$C$9</f>
        <v>207</v>
      </c>
      <c r="G45" s="76">
        <f>C45-E45</f>
        <v>-28.482444948697946</v>
      </c>
      <c r="H45" s="77">
        <f>D45-F45</f>
        <v>30.889614385968542</v>
      </c>
      <c r="I45" s="44">
        <f>G45/E45</f>
        <v>-7.9117902635272075E-2</v>
      </c>
      <c r="J45" s="44">
        <f>H45/F45</f>
        <v>0.14922519027037942</v>
      </c>
    </row>
    <row r="46" spans="1:13">
      <c r="A46" s="49"/>
      <c r="B46" s="2">
        <v>2</v>
      </c>
      <c r="C46" s="52">
        <f t="shared" ref="C46:C47" si="14">C40</f>
        <v>320.27121949333343</v>
      </c>
      <c r="D46" s="75">
        <f t="shared" ref="D46:D47" si="15">($E$19*(10^3)*($C$19^3)/(48*(C46*(10^(-12)))))/(10^9)</f>
        <v>246.24311687480534</v>
      </c>
      <c r="E46" s="75">
        <f t="shared" ref="E46:E47" si="16">E40</f>
        <v>333.33333333333331</v>
      </c>
      <c r="F46" s="33">
        <f t="shared" ref="F46:F47" si="17">$C$9</f>
        <v>207</v>
      </c>
      <c r="G46" s="76">
        <f t="shared" ref="G46:G47" si="18">C46-E46</f>
        <v>-13.062113839999881</v>
      </c>
      <c r="H46" s="77">
        <f t="shared" ref="H46:H47" si="19">D46-F46</f>
        <v>39.243116874805338</v>
      </c>
      <c r="I46" s="44">
        <f t="shared" ref="I46:I47" si="20">G46/E46</f>
        <v>-3.9186341519999647E-2</v>
      </c>
      <c r="J46" s="44">
        <f t="shared" ref="J46:J47" si="21">H46/F46</f>
        <v>0.18958027475751371</v>
      </c>
    </row>
    <row r="47" spans="1:13">
      <c r="A47" s="49"/>
      <c r="B47" s="2">
        <v>3</v>
      </c>
      <c r="C47" s="52">
        <f t="shared" si="14"/>
        <v>276.23779970624997</v>
      </c>
      <c r="D47" s="75">
        <f t="shared" si="15"/>
        <v>285.49526320147925</v>
      </c>
      <c r="E47" s="75">
        <f t="shared" si="16"/>
        <v>333.33333333333331</v>
      </c>
      <c r="F47" s="33">
        <f t="shared" si="17"/>
        <v>207</v>
      </c>
      <c r="G47" s="76">
        <f t="shared" si="18"/>
        <v>-57.095533627083341</v>
      </c>
      <c r="H47" s="77">
        <f t="shared" si="19"/>
        <v>78.495263201479247</v>
      </c>
      <c r="I47" s="44">
        <f t="shared" si="20"/>
        <v>-0.17128660088125003</v>
      </c>
      <c r="J47" s="44">
        <f t="shared" si="21"/>
        <v>0.37920417005545531</v>
      </c>
    </row>
    <row r="48" spans="1:13">
      <c r="A48" s="49"/>
      <c r="B48" s="57"/>
      <c r="C48" s="80"/>
      <c r="D48" s="81"/>
      <c r="E48" s="59"/>
      <c r="F48" s="59"/>
      <c r="G48" s="82"/>
      <c r="H48" s="83"/>
      <c r="I48" s="84"/>
      <c r="J48" s="84"/>
    </row>
    <row r="49" spans="1:10">
      <c r="A49" s="169" t="s">
        <v>60</v>
      </c>
      <c r="B49" s="169"/>
    </row>
    <row r="50" spans="1:10">
      <c r="B50" s="36" t="s">
        <v>67</v>
      </c>
    </row>
    <row r="51" spans="1:10" ht="15.75" thickBot="1">
      <c r="B51" s="1" t="s">
        <v>0</v>
      </c>
      <c r="C51" s="1" t="s">
        <v>68</v>
      </c>
      <c r="D51" s="1" t="s">
        <v>69</v>
      </c>
    </row>
    <row r="52" spans="1:10" ht="15.75" thickTop="1">
      <c r="B52" s="2">
        <v>1</v>
      </c>
      <c r="C52" s="56"/>
      <c r="D52" s="56"/>
    </row>
    <row r="53" spans="1:10">
      <c r="B53" s="2">
        <v>2</v>
      </c>
      <c r="C53" s="48"/>
      <c r="D53" s="48"/>
    </row>
    <row r="54" spans="1:10">
      <c r="B54" s="3">
        <v>3</v>
      </c>
      <c r="C54" s="48"/>
      <c r="D54" s="48"/>
    </row>
    <row r="55" spans="1:10">
      <c r="B55" s="36" t="s">
        <v>66</v>
      </c>
    </row>
    <row r="56" spans="1:10">
      <c r="B56" s="41"/>
      <c r="C56" s="170" t="s">
        <v>62</v>
      </c>
      <c r="D56" s="170"/>
      <c r="E56" s="175" t="s">
        <v>52</v>
      </c>
      <c r="F56" s="174"/>
      <c r="G56" s="164" t="s">
        <v>53</v>
      </c>
      <c r="H56" s="164"/>
      <c r="I56" s="175" t="s">
        <v>54</v>
      </c>
      <c r="J56" s="174"/>
    </row>
    <row r="57" spans="1:10" ht="15.75" thickBot="1">
      <c r="B57" s="1" t="s">
        <v>0</v>
      </c>
      <c r="C57" s="1" t="s">
        <v>1</v>
      </c>
      <c r="D57" s="1" t="s">
        <v>2</v>
      </c>
      <c r="E57" s="1" t="s">
        <v>1</v>
      </c>
      <c r="F57" s="1" t="s">
        <v>2</v>
      </c>
      <c r="G57" s="1" t="s">
        <v>1</v>
      </c>
      <c r="H57" s="1" t="s">
        <v>2</v>
      </c>
      <c r="I57" s="1" t="s">
        <v>1</v>
      </c>
      <c r="J57" s="1" t="s">
        <v>2</v>
      </c>
    </row>
    <row r="58" spans="1:10" ht="15.75" thickTop="1">
      <c r="B58" s="2">
        <v>1</v>
      </c>
      <c r="C58" s="54"/>
      <c r="D58" s="54"/>
      <c r="E58" s="30">
        <v>20</v>
      </c>
      <c r="F58" s="32">
        <v>6</v>
      </c>
      <c r="G58" s="42">
        <f>C58-E58</f>
        <v>-20</v>
      </c>
      <c r="H58" s="43">
        <f>D58-F58</f>
        <v>-6</v>
      </c>
      <c r="I58" s="44">
        <f>G58/E58</f>
        <v>-1</v>
      </c>
      <c r="J58" s="44">
        <f>H58/F58</f>
        <v>-1</v>
      </c>
    </row>
    <row r="59" spans="1:10">
      <c r="B59" s="2">
        <v>2</v>
      </c>
      <c r="C59" s="55"/>
      <c r="D59" s="55"/>
      <c r="E59" s="31">
        <v>32</v>
      </c>
      <c r="F59" s="33">
        <v>5</v>
      </c>
      <c r="G59" s="45">
        <f t="shared" ref="G59:G60" si="22">C59-E59</f>
        <v>-32</v>
      </c>
      <c r="H59" s="46">
        <f t="shared" ref="H59:H60" si="23">D59-F59</f>
        <v>-5</v>
      </c>
      <c r="I59" s="47">
        <f t="shared" ref="I59:I60" si="24">G59/E59</f>
        <v>-1</v>
      </c>
      <c r="J59" s="47">
        <f t="shared" ref="J59:J60" si="25">H59/F59</f>
        <v>-1</v>
      </c>
    </row>
    <row r="60" spans="1:10">
      <c r="B60" s="3">
        <v>3</v>
      </c>
      <c r="C60" s="55"/>
      <c r="D60" s="55"/>
      <c r="E60" s="31">
        <v>32</v>
      </c>
      <c r="F60" s="33">
        <v>5</v>
      </c>
      <c r="G60" s="45">
        <f t="shared" si="22"/>
        <v>-32</v>
      </c>
      <c r="H60" s="46">
        <f t="shared" si="23"/>
        <v>-5</v>
      </c>
      <c r="I60" s="47">
        <f t="shared" si="24"/>
        <v>-1</v>
      </c>
      <c r="J60" s="47">
        <f t="shared" si="25"/>
        <v>-1</v>
      </c>
    </row>
    <row r="61" spans="1:10">
      <c r="B61" s="165" t="s">
        <v>49</v>
      </c>
      <c r="C61" s="165"/>
      <c r="D61" s="67"/>
      <c r="E61" s="61"/>
      <c r="F61" s="62"/>
      <c r="G61" s="63"/>
      <c r="H61" s="64"/>
      <c r="I61" s="65"/>
      <c r="J61" s="66"/>
    </row>
    <row r="62" spans="1:10">
      <c r="B62" s="41"/>
      <c r="C62" s="170" t="s">
        <v>62</v>
      </c>
      <c r="D62" s="170"/>
      <c r="E62" s="175" t="s">
        <v>52</v>
      </c>
      <c r="F62" s="174"/>
      <c r="G62" s="175" t="s">
        <v>53</v>
      </c>
      <c r="H62" s="174"/>
      <c r="I62" s="175" t="s">
        <v>54</v>
      </c>
      <c r="J62" s="174"/>
    </row>
    <row r="63" spans="1:10" ht="18.75" thickBot="1">
      <c r="B63" s="1" t="s">
        <v>0</v>
      </c>
      <c r="C63" s="1" t="s">
        <v>1</v>
      </c>
      <c r="D63" s="1" t="s">
        <v>2</v>
      </c>
      <c r="E63" s="1" t="s">
        <v>57</v>
      </c>
      <c r="F63" s="38" t="s">
        <v>58</v>
      </c>
      <c r="G63" s="1" t="s">
        <v>57</v>
      </c>
      <c r="H63" s="38" t="s">
        <v>58</v>
      </c>
      <c r="I63" s="1" t="s">
        <v>57</v>
      </c>
      <c r="J63" s="38" t="s">
        <v>58</v>
      </c>
    </row>
    <row r="64" spans="1:10" ht="15.75" thickTop="1">
      <c r="B64" s="2">
        <v>1</v>
      </c>
      <c r="C64" s="54"/>
      <c r="D64" s="54"/>
      <c r="E64" s="30">
        <v>20</v>
      </c>
      <c r="F64" s="32">
        <v>6</v>
      </c>
      <c r="G64" s="42">
        <f>C64-E64</f>
        <v>-20</v>
      </c>
      <c r="H64" s="43">
        <f>D64-F64</f>
        <v>-6</v>
      </c>
      <c r="I64" s="44">
        <f>G64/E64</f>
        <v>-1</v>
      </c>
      <c r="J64" s="44">
        <f>H64/F64</f>
        <v>-1</v>
      </c>
    </row>
    <row r="65" spans="1:10">
      <c r="B65" s="2">
        <v>2</v>
      </c>
      <c r="C65" s="55"/>
      <c r="D65" s="55"/>
      <c r="E65" s="31">
        <v>32</v>
      </c>
      <c r="F65" s="33">
        <v>5</v>
      </c>
      <c r="G65" s="42">
        <f t="shared" ref="G65:G66" si="26">C65-E65</f>
        <v>-32</v>
      </c>
      <c r="H65" s="43">
        <f t="shared" ref="H65:H66" si="27">D65-F65</f>
        <v>-5</v>
      </c>
      <c r="I65" s="44">
        <f t="shared" ref="I65:I66" si="28">G65/E65</f>
        <v>-1</v>
      </c>
      <c r="J65" s="44">
        <f t="shared" ref="J65:J66" si="29">H65/F65</f>
        <v>-1</v>
      </c>
    </row>
    <row r="66" spans="1:10">
      <c r="B66" s="2">
        <v>3</v>
      </c>
      <c r="C66" s="55"/>
      <c r="D66" s="55"/>
      <c r="E66" s="31">
        <v>32</v>
      </c>
      <c r="F66" s="33">
        <v>5</v>
      </c>
      <c r="G66" s="42">
        <f t="shared" si="26"/>
        <v>-32</v>
      </c>
      <c r="H66" s="43">
        <f t="shared" si="27"/>
        <v>-5</v>
      </c>
      <c r="I66" s="44">
        <f t="shared" si="28"/>
        <v>-1</v>
      </c>
      <c r="J66" s="44">
        <f t="shared" si="29"/>
        <v>-1</v>
      </c>
    </row>
    <row r="67" spans="1:10">
      <c r="B67" s="57"/>
      <c r="E67" s="58"/>
      <c r="F67" s="59"/>
      <c r="G67" s="60"/>
      <c r="H67" s="60"/>
      <c r="I67" s="60"/>
      <c r="J67" s="60"/>
    </row>
    <row r="68" spans="1:10">
      <c r="A68" s="178" t="s">
        <v>65</v>
      </c>
      <c r="B68" s="178"/>
    </row>
    <row r="69" spans="1:10">
      <c r="B69" s="36" t="s">
        <v>91</v>
      </c>
    </row>
    <row r="70" spans="1:10" ht="15.75" thickBot="1">
      <c r="B70" s="1" t="s">
        <v>0</v>
      </c>
      <c r="C70" s="1" t="s">
        <v>68</v>
      </c>
      <c r="D70" s="1" t="s">
        <v>70</v>
      </c>
    </row>
    <row r="71" spans="1:10" ht="15.75" thickTop="1">
      <c r="B71" s="2">
        <v>1</v>
      </c>
      <c r="C71" s="56"/>
      <c r="D71" s="56"/>
    </row>
    <row r="72" spans="1:10">
      <c r="B72" s="2">
        <v>2</v>
      </c>
      <c r="C72" s="48"/>
      <c r="D72" s="48"/>
    </row>
    <row r="73" spans="1:10">
      <c r="B73" s="3">
        <v>3</v>
      </c>
      <c r="C73" s="48"/>
      <c r="D73" s="48"/>
    </row>
    <row r="74" spans="1:10">
      <c r="B74" s="36" t="s">
        <v>66</v>
      </c>
    </row>
    <row r="75" spans="1:10">
      <c r="B75" s="41"/>
      <c r="C75" s="170" t="s">
        <v>99</v>
      </c>
      <c r="D75" s="170"/>
      <c r="E75" s="175" t="s">
        <v>52</v>
      </c>
      <c r="F75" s="174"/>
      <c r="G75" s="164" t="s">
        <v>53</v>
      </c>
      <c r="H75" s="164"/>
      <c r="I75" s="175" t="s">
        <v>54</v>
      </c>
      <c r="J75" s="174"/>
    </row>
    <row r="76" spans="1:10" ht="15.75" thickBot="1">
      <c r="B76" s="1" t="s">
        <v>0</v>
      </c>
      <c r="C76" s="1" t="s">
        <v>1</v>
      </c>
      <c r="D76" s="1" t="s">
        <v>2</v>
      </c>
      <c r="E76" s="1" t="s">
        <v>1</v>
      </c>
      <c r="F76" s="1" t="s">
        <v>2</v>
      </c>
      <c r="G76" s="1" t="s">
        <v>1</v>
      </c>
      <c r="H76" s="1" t="s">
        <v>2</v>
      </c>
      <c r="I76" s="1" t="s">
        <v>1</v>
      </c>
      <c r="J76" s="1" t="s">
        <v>2</v>
      </c>
    </row>
    <row r="77" spans="1:10" ht="15.75" thickTop="1">
      <c r="B77" s="2">
        <v>1</v>
      </c>
      <c r="C77" s="54"/>
      <c r="D77" s="54"/>
      <c r="E77" s="30">
        <v>20</v>
      </c>
      <c r="F77" s="32">
        <v>6</v>
      </c>
      <c r="G77" s="42">
        <f>C77-E77</f>
        <v>-20</v>
      </c>
      <c r="H77" s="43">
        <f>D77-F77</f>
        <v>-6</v>
      </c>
      <c r="I77" s="44">
        <f>G77/E77</f>
        <v>-1</v>
      </c>
      <c r="J77" s="44">
        <f>H77/F77</f>
        <v>-1</v>
      </c>
    </row>
    <row r="78" spans="1:10">
      <c r="B78" s="2">
        <v>2</v>
      </c>
      <c r="C78" s="55"/>
      <c r="D78" s="55"/>
      <c r="E78" s="31">
        <v>32</v>
      </c>
      <c r="F78" s="33">
        <v>5</v>
      </c>
      <c r="G78" s="45">
        <f t="shared" ref="G78:G79" si="30">C78-E78</f>
        <v>-32</v>
      </c>
      <c r="H78" s="46">
        <f t="shared" ref="H78:H79" si="31">D78-F78</f>
        <v>-5</v>
      </c>
      <c r="I78" s="47">
        <f t="shared" ref="I78:I79" si="32">G78/E78</f>
        <v>-1</v>
      </c>
      <c r="J78" s="47">
        <f t="shared" ref="J78:J79" si="33">H78/F78</f>
        <v>-1</v>
      </c>
    </row>
    <row r="79" spans="1:10">
      <c r="B79" s="3">
        <v>3</v>
      </c>
      <c r="C79" s="55"/>
      <c r="D79" s="55"/>
      <c r="E79" s="31">
        <v>32</v>
      </c>
      <c r="F79" s="33">
        <v>5</v>
      </c>
      <c r="G79" s="45">
        <f t="shared" si="30"/>
        <v>-32</v>
      </c>
      <c r="H79" s="46">
        <f t="shared" si="31"/>
        <v>-5</v>
      </c>
      <c r="I79" s="47">
        <f t="shared" si="32"/>
        <v>-1</v>
      </c>
      <c r="J79" s="47">
        <f t="shared" si="33"/>
        <v>-1</v>
      </c>
    </row>
    <row r="80" spans="1:10">
      <c r="B80" s="165" t="s">
        <v>49</v>
      </c>
      <c r="C80" s="165"/>
      <c r="D80" s="67"/>
      <c r="E80" s="61"/>
      <c r="F80" s="62"/>
      <c r="G80" s="63"/>
      <c r="H80" s="64"/>
      <c r="I80" s="65"/>
      <c r="J80" s="66"/>
    </row>
    <row r="81" spans="2:10">
      <c r="B81" s="41"/>
      <c r="C81" s="170" t="s">
        <v>99</v>
      </c>
      <c r="D81" s="170"/>
      <c r="E81" s="175" t="s">
        <v>52</v>
      </c>
      <c r="F81" s="174"/>
      <c r="G81" s="175" t="s">
        <v>53</v>
      </c>
      <c r="H81" s="174"/>
      <c r="I81" s="175" t="s">
        <v>54</v>
      </c>
      <c r="J81" s="174"/>
    </row>
    <row r="82" spans="2:10" ht="18.75" thickBot="1">
      <c r="B82" s="1" t="s">
        <v>0</v>
      </c>
      <c r="C82" s="1" t="s">
        <v>1</v>
      </c>
      <c r="D82" s="1" t="s">
        <v>2</v>
      </c>
      <c r="E82" s="1" t="s">
        <v>57</v>
      </c>
      <c r="F82" s="38" t="s">
        <v>58</v>
      </c>
      <c r="G82" s="1" t="s">
        <v>57</v>
      </c>
      <c r="H82" s="38" t="s">
        <v>58</v>
      </c>
      <c r="I82" s="1" t="s">
        <v>57</v>
      </c>
      <c r="J82" s="38" t="s">
        <v>58</v>
      </c>
    </row>
    <row r="83" spans="2:10" ht="15.75" thickTop="1">
      <c r="B83" s="2">
        <v>1</v>
      </c>
      <c r="C83" s="54"/>
      <c r="D83" s="54"/>
      <c r="E83" s="30">
        <v>20</v>
      </c>
      <c r="F83" s="32">
        <v>6</v>
      </c>
      <c r="G83" s="42">
        <f>C83-E83</f>
        <v>-20</v>
      </c>
      <c r="H83" s="43">
        <f>D83-F83</f>
        <v>-6</v>
      </c>
      <c r="I83" s="44">
        <f>G83/E83</f>
        <v>-1</v>
      </c>
      <c r="J83" s="44">
        <f>H83/F83</f>
        <v>-1</v>
      </c>
    </row>
    <row r="84" spans="2:10">
      <c r="B84" s="2">
        <v>2</v>
      </c>
      <c r="C84" s="55"/>
      <c r="D84" s="55"/>
      <c r="E84" s="31">
        <v>32</v>
      </c>
      <c r="F84" s="33">
        <v>5</v>
      </c>
      <c r="G84" s="42">
        <f t="shared" ref="G84:G85" si="34">C84-E84</f>
        <v>-32</v>
      </c>
      <c r="H84" s="43">
        <f t="shared" ref="H84:H85" si="35">D84-F84</f>
        <v>-5</v>
      </c>
      <c r="I84" s="44">
        <f t="shared" ref="I84:I85" si="36">G84/E84</f>
        <v>-1</v>
      </c>
      <c r="J84" s="44">
        <f t="shared" ref="J84:J85" si="37">H84/F84</f>
        <v>-1</v>
      </c>
    </row>
    <row r="85" spans="2:10">
      <c r="B85" s="2">
        <v>3</v>
      </c>
      <c r="C85" s="55"/>
      <c r="D85" s="55"/>
      <c r="E85" s="31">
        <v>32</v>
      </c>
      <c r="F85" s="33">
        <v>5</v>
      </c>
      <c r="G85" s="42">
        <f t="shared" si="34"/>
        <v>-32</v>
      </c>
      <c r="H85" s="43">
        <f t="shared" si="35"/>
        <v>-5</v>
      </c>
      <c r="I85" s="44">
        <f t="shared" si="36"/>
        <v>-1</v>
      </c>
      <c r="J85" s="44">
        <f t="shared" si="37"/>
        <v>-1</v>
      </c>
    </row>
  </sheetData>
  <mergeCells count="48">
    <mergeCell ref="A17:B17"/>
    <mergeCell ref="B13:D13"/>
    <mergeCell ref="M22:N22"/>
    <mergeCell ref="A6:B6"/>
    <mergeCell ref="B80:C80"/>
    <mergeCell ref="A68:B68"/>
    <mergeCell ref="K22:L22"/>
    <mergeCell ref="E43:F43"/>
    <mergeCell ref="G43:H43"/>
    <mergeCell ref="I43:J43"/>
    <mergeCell ref="E75:F75"/>
    <mergeCell ref="C62:D62"/>
    <mergeCell ref="E62:F62"/>
    <mergeCell ref="A28:C28"/>
    <mergeCell ref="A35:C35"/>
    <mergeCell ref="E56:F56"/>
    <mergeCell ref="C81:D81"/>
    <mergeCell ref="E81:F81"/>
    <mergeCell ref="G81:H81"/>
    <mergeCell ref="I81:J81"/>
    <mergeCell ref="A21:C21"/>
    <mergeCell ref="C22:D22"/>
    <mergeCell ref="E22:F22"/>
    <mergeCell ref="G22:H22"/>
    <mergeCell ref="G62:H62"/>
    <mergeCell ref="I62:J62"/>
    <mergeCell ref="G56:H56"/>
    <mergeCell ref="I56:J56"/>
    <mergeCell ref="C43:D43"/>
    <mergeCell ref="G75:H75"/>
    <mergeCell ref="I75:J75"/>
    <mergeCell ref="C75:D75"/>
    <mergeCell ref="B3:B4"/>
    <mergeCell ref="B61:C61"/>
    <mergeCell ref="B10:D10"/>
    <mergeCell ref="A1:B1"/>
    <mergeCell ref="A49:B49"/>
    <mergeCell ref="C56:D56"/>
    <mergeCell ref="D3:J4"/>
    <mergeCell ref="I22:J22"/>
    <mergeCell ref="C37:D37"/>
    <mergeCell ref="E37:F37"/>
    <mergeCell ref="G37:H37"/>
    <mergeCell ref="I37:J37"/>
    <mergeCell ref="C29:D29"/>
    <mergeCell ref="E29:F29"/>
    <mergeCell ref="G29:H29"/>
    <mergeCell ref="I29:J29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81"/>
  <sheetViews>
    <sheetView topLeftCell="A55" zoomScale="80" zoomScaleNormal="80" workbookViewId="0">
      <selection activeCell="S15" sqref="S15"/>
    </sheetView>
  </sheetViews>
  <sheetFormatPr defaultColWidth="8.875" defaultRowHeight="18.75"/>
  <cols>
    <col min="1" max="1" width="3" customWidth="1"/>
    <col min="2" max="2" width="3.375" customWidth="1"/>
    <col min="3" max="3" width="19.875" customWidth="1"/>
    <col min="4" max="4" width="12.625" customWidth="1"/>
    <col min="5" max="5" width="14" customWidth="1"/>
    <col min="6" max="6" width="6.375" customWidth="1"/>
    <col min="7" max="8" width="6" customWidth="1"/>
    <col min="9" max="9" width="5.625" customWidth="1"/>
    <col min="13" max="13" width="23.75" customWidth="1"/>
  </cols>
  <sheetData>
    <row r="1" spans="1:13">
      <c r="A1" s="179" t="s">
        <v>81</v>
      </c>
      <c r="B1" s="179"/>
      <c r="C1" s="179"/>
      <c r="D1" s="179"/>
      <c r="E1" s="179"/>
    </row>
    <row r="3" spans="1:13">
      <c r="C3" s="164" t="s">
        <v>55</v>
      </c>
      <c r="D3" s="48" t="s">
        <v>56</v>
      </c>
      <c r="E3" s="180" t="s">
        <v>105</v>
      </c>
      <c r="F3" s="181"/>
      <c r="G3" s="181"/>
      <c r="H3" s="181"/>
      <c r="I3" s="181"/>
      <c r="J3" s="181"/>
      <c r="K3" s="181"/>
    </row>
    <row r="4" spans="1:13">
      <c r="C4" s="164"/>
      <c r="D4" s="37" t="s">
        <v>63</v>
      </c>
      <c r="E4" s="181"/>
      <c r="F4" s="181"/>
      <c r="G4" s="181"/>
      <c r="H4" s="181"/>
      <c r="I4" s="181"/>
      <c r="J4" s="181"/>
      <c r="K4" s="181"/>
    </row>
    <row r="5" spans="1:13">
      <c r="C5" s="57"/>
      <c r="D5" s="68"/>
      <c r="E5" s="69"/>
      <c r="F5" s="69"/>
      <c r="G5" s="69"/>
      <c r="H5" s="69"/>
      <c r="I5" s="69"/>
      <c r="J5" s="69"/>
      <c r="K5" s="69"/>
    </row>
    <row r="6" spans="1:13">
      <c r="A6" s="189" t="s">
        <v>86</v>
      </c>
      <c r="B6" s="189"/>
      <c r="C6" s="189"/>
      <c r="D6" s="68"/>
      <c r="G6" s="69"/>
      <c r="H6" s="69"/>
      <c r="I6" s="69"/>
      <c r="J6" s="69"/>
      <c r="K6" s="69"/>
    </row>
    <row r="7" spans="1:13" ht="19.5" thickBot="1">
      <c r="C7" s="1" t="s">
        <v>87</v>
      </c>
      <c r="D7" s="90" t="s">
        <v>89</v>
      </c>
      <c r="E7" s="90" t="s">
        <v>90</v>
      </c>
      <c r="G7" s="69"/>
      <c r="H7" s="69"/>
      <c r="I7" s="69"/>
      <c r="J7" s="69"/>
      <c r="K7" s="69"/>
    </row>
    <row r="8" spans="1:13" ht="19.5" thickTop="1">
      <c r="C8" s="2"/>
      <c r="D8" s="92">
        <v>30.289000000000001</v>
      </c>
      <c r="E8" s="92">
        <v>30.283999999999999</v>
      </c>
      <c r="G8" s="195" t="s">
        <v>106</v>
      </c>
      <c r="H8" s="195"/>
      <c r="I8" s="195"/>
      <c r="J8" s="195"/>
      <c r="K8" s="195"/>
      <c r="L8" s="195"/>
      <c r="M8" s="195"/>
    </row>
    <row r="9" spans="1:13">
      <c r="C9" s="57"/>
      <c r="D9" s="68"/>
      <c r="G9" s="69"/>
      <c r="H9" s="69"/>
      <c r="I9" s="69"/>
      <c r="J9" s="69"/>
      <c r="K9" s="69"/>
    </row>
    <row r="10" spans="1:13">
      <c r="A10" s="189" t="s">
        <v>97</v>
      </c>
      <c r="B10" s="189"/>
      <c r="C10" s="189"/>
      <c r="D10" s="68"/>
      <c r="G10" s="69"/>
      <c r="H10" s="69"/>
      <c r="I10" s="69"/>
      <c r="J10" s="69"/>
      <c r="K10" s="69"/>
    </row>
    <row r="11" spans="1:13">
      <c r="A11" s="122"/>
      <c r="B11" s="122"/>
      <c r="C11" s="122" t="s">
        <v>101</v>
      </c>
      <c r="D11" s="121"/>
      <c r="E11" s="121"/>
      <c r="F11" s="121"/>
      <c r="G11" s="121"/>
      <c r="H11" s="121"/>
      <c r="I11" s="121"/>
      <c r="J11" s="121"/>
      <c r="K11" s="122" t="s">
        <v>100</v>
      </c>
      <c r="L11" s="122"/>
      <c r="M11" s="122"/>
    </row>
    <row r="12" spans="1:13">
      <c r="C12" s="57"/>
      <c r="D12" s="68"/>
      <c r="G12" s="69"/>
      <c r="H12" s="69"/>
      <c r="I12" s="69"/>
      <c r="J12" s="69"/>
      <c r="K12" s="69"/>
    </row>
    <row r="13" spans="1:13">
      <c r="C13" s="57"/>
      <c r="D13" s="68"/>
      <c r="E13" s="69"/>
      <c r="F13" s="69"/>
      <c r="G13" s="69"/>
      <c r="H13" s="69"/>
      <c r="I13" s="69"/>
      <c r="J13" s="69"/>
      <c r="K13" s="69"/>
    </row>
    <row r="14" spans="1:13">
      <c r="C14" s="57"/>
      <c r="D14" s="68"/>
      <c r="E14" s="69"/>
      <c r="F14" s="69"/>
      <c r="G14" s="69"/>
      <c r="H14" s="69"/>
      <c r="I14" s="69"/>
      <c r="J14" s="69"/>
      <c r="K14" s="69"/>
    </row>
    <row r="15" spans="1:13">
      <c r="C15" s="57"/>
      <c r="D15" s="68"/>
      <c r="E15" s="69"/>
      <c r="F15" s="69"/>
      <c r="G15" s="69"/>
      <c r="H15" s="69"/>
      <c r="I15" s="69"/>
      <c r="J15" s="69"/>
      <c r="K15" s="69"/>
    </row>
    <row r="16" spans="1:13">
      <c r="C16" s="57"/>
      <c r="D16" s="68"/>
      <c r="E16" s="69"/>
      <c r="F16" s="69"/>
      <c r="G16" s="69"/>
      <c r="H16" s="69"/>
      <c r="I16" s="69"/>
      <c r="J16" s="69"/>
      <c r="K16" s="69"/>
    </row>
    <row r="17" spans="1:19">
      <c r="C17" s="57"/>
      <c r="D17" s="68"/>
      <c r="E17" s="69"/>
      <c r="F17" s="69"/>
      <c r="G17" s="69"/>
      <c r="H17" s="69"/>
      <c r="I17" s="69"/>
      <c r="J17" s="69"/>
      <c r="K17" s="69"/>
    </row>
    <row r="18" spans="1:19">
      <c r="C18" s="57"/>
      <c r="D18" s="68"/>
      <c r="E18" s="69"/>
      <c r="F18" s="69"/>
      <c r="G18" s="69"/>
      <c r="H18" s="69"/>
      <c r="I18" s="69"/>
      <c r="J18" s="69"/>
      <c r="K18" s="69"/>
    </row>
    <row r="19" spans="1:19">
      <c r="C19" s="57"/>
      <c r="D19" s="68"/>
      <c r="E19" s="69"/>
      <c r="F19" s="69"/>
      <c r="G19" s="69"/>
      <c r="H19" s="69"/>
      <c r="I19" s="69"/>
      <c r="J19" s="69"/>
      <c r="K19" s="69"/>
    </row>
    <row r="20" spans="1:19">
      <c r="C20" s="57"/>
      <c r="D20" s="68"/>
      <c r="E20" s="69"/>
      <c r="F20" s="69"/>
      <c r="G20" s="69"/>
      <c r="H20" s="69"/>
      <c r="I20" s="69"/>
      <c r="J20" s="69"/>
      <c r="K20" s="69"/>
    </row>
    <row r="21" spans="1:19">
      <c r="C21" s="57"/>
      <c r="D21" s="68"/>
      <c r="E21" s="69"/>
      <c r="F21" s="69"/>
      <c r="G21" s="69"/>
      <c r="H21" s="69"/>
      <c r="I21" s="69"/>
      <c r="J21" s="69"/>
      <c r="K21" s="69"/>
    </row>
    <row r="22" spans="1:19">
      <c r="C22" s="57"/>
      <c r="D22" s="68"/>
      <c r="E22" s="69"/>
      <c r="F22" s="69"/>
      <c r="G22" s="69"/>
      <c r="H22" s="69"/>
      <c r="I22" s="69"/>
      <c r="J22" s="69"/>
      <c r="K22" s="69"/>
    </row>
    <row r="23" spans="1:19" ht="12" customHeight="1">
      <c r="C23" s="57"/>
      <c r="D23" s="68"/>
      <c r="E23" s="69"/>
      <c r="F23" s="69"/>
      <c r="G23" s="69"/>
      <c r="H23" s="69"/>
      <c r="I23" s="69"/>
      <c r="J23" s="69"/>
      <c r="K23" s="69"/>
    </row>
    <row r="24" spans="1:19">
      <c r="C24" s="57"/>
      <c r="D24" s="68"/>
      <c r="E24" s="69"/>
      <c r="F24" s="69"/>
      <c r="G24" s="69"/>
      <c r="H24" s="69"/>
      <c r="I24" s="69"/>
      <c r="J24" s="69"/>
      <c r="K24" s="69"/>
    </row>
    <row r="25" spans="1:19">
      <c r="C25" s="57"/>
      <c r="D25" s="68"/>
      <c r="E25" s="69"/>
      <c r="F25" s="69"/>
      <c r="G25" s="69"/>
      <c r="H25" s="69"/>
      <c r="I25" s="69"/>
      <c r="J25" s="69"/>
      <c r="K25" s="69"/>
    </row>
    <row r="26" spans="1:19">
      <c r="C26" s="57"/>
      <c r="D26" s="68"/>
      <c r="E26" s="69"/>
      <c r="F26" s="69"/>
      <c r="G26" s="69"/>
      <c r="H26" s="69"/>
      <c r="I26" s="69"/>
      <c r="J26" s="69"/>
      <c r="K26" s="69"/>
    </row>
    <row r="27" spans="1:19">
      <c r="C27" s="57"/>
      <c r="D27" s="68"/>
      <c r="E27" s="69"/>
      <c r="F27" s="69"/>
      <c r="G27" s="69"/>
      <c r="H27" s="69"/>
      <c r="I27" s="69"/>
      <c r="J27" s="69"/>
      <c r="K27" s="69"/>
    </row>
    <row r="28" spans="1:19" s="105" customFormat="1"/>
    <row r="30" spans="1:19">
      <c r="A30" s="190" t="s">
        <v>95</v>
      </c>
      <c r="B30" s="190"/>
      <c r="C30" s="190"/>
      <c r="K30" s="190" t="s">
        <v>96</v>
      </c>
      <c r="L30" s="190"/>
      <c r="M30" s="190"/>
    </row>
    <row r="31" spans="1:19" ht="25.5" customHeight="1">
      <c r="A31" s="185"/>
      <c r="B31" s="185"/>
      <c r="C31" s="9" t="s">
        <v>13</v>
      </c>
      <c r="D31" s="183" t="s">
        <v>22</v>
      </c>
      <c r="E31" s="183"/>
      <c r="F31" s="183"/>
      <c r="G31" s="183"/>
      <c r="H31" s="183"/>
      <c r="I31" s="183"/>
      <c r="K31" s="191"/>
      <c r="L31" s="191"/>
      <c r="M31" s="113" t="s">
        <v>13</v>
      </c>
      <c r="N31" s="194" t="s">
        <v>22</v>
      </c>
      <c r="O31" s="194"/>
      <c r="P31" s="194"/>
      <c r="Q31" s="194"/>
      <c r="R31" s="194"/>
      <c r="S31" s="194"/>
    </row>
    <row r="32" spans="1:19" ht="59.25" customHeight="1" thickBot="1">
      <c r="A32" s="186"/>
      <c r="B32" s="186"/>
      <c r="C32" s="10" t="s">
        <v>21</v>
      </c>
      <c r="D32" s="11">
        <f>D49</f>
        <v>0</v>
      </c>
      <c r="E32" s="10">
        <f>D55</f>
        <v>4.9000000000000004</v>
      </c>
      <c r="F32" s="10">
        <f>D61</f>
        <v>9.8000000000000007</v>
      </c>
      <c r="G32" s="10">
        <f>D67</f>
        <v>14.7</v>
      </c>
      <c r="H32" s="10">
        <f>D73</f>
        <v>19.600000000000001</v>
      </c>
      <c r="I32" s="10">
        <f>D79</f>
        <v>29.4</v>
      </c>
      <c r="K32" s="192"/>
      <c r="L32" s="192"/>
      <c r="M32" s="114" t="s">
        <v>21</v>
      </c>
      <c r="N32" s="115">
        <f>N49</f>
        <v>0</v>
      </c>
      <c r="O32" s="114">
        <f>N55</f>
        <v>4.9000000000000004</v>
      </c>
      <c r="P32" s="114">
        <f>N61</f>
        <v>9.8000000000000007</v>
      </c>
      <c r="Q32" s="114">
        <f>N67</f>
        <v>14.7</v>
      </c>
      <c r="R32" s="114">
        <f>N73</f>
        <v>19.600000000000001</v>
      </c>
      <c r="S32" s="114">
        <f>N79</f>
        <v>29.4</v>
      </c>
    </row>
    <row r="33" spans="1:19" ht="19.5" thickTop="1">
      <c r="A33" s="187" t="s">
        <v>14</v>
      </c>
      <c r="B33" s="188" t="s">
        <v>15</v>
      </c>
      <c r="C33" s="6" t="s">
        <v>16</v>
      </c>
      <c r="D33" s="98">
        <v>3.399</v>
      </c>
      <c r="E33" s="98">
        <v>3.2509999999999999</v>
      </c>
      <c r="F33" s="98">
        <v>3.0910000000000002</v>
      </c>
      <c r="G33" s="98">
        <v>2.9140000000000001</v>
      </c>
      <c r="H33" s="98">
        <v>2.762</v>
      </c>
      <c r="I33" s="98">
        <v>2.4430000000000001</v>
      </c>
      <c r="K33" s="196" t="s">
        <v>14</v>
      </c>
      <c r="L33" s="197" t="s">
        <v>15</v>
      </c>
      <c r="M33" s="116" t="s">
        <v>16</v>
      </c>
      <c r="N33" s="117">
        <v>3.399</v>
      </c>
      <c r="O33" s="117">
        <v>3.2509999999999999</v>
      </c>
      <c r="P33" s="117">
        <v>3.0910000000000002</v>
      </c>
      <c r="Q33" s="117">
        <v>2.9140000000000001</v>
      </c>
      <c r="R33" s="117">
        <v>2.762</v>
      </c>
      <c r="S33" s="117">
        <v>2.4430000000000001</v>
      </c>
    </row>
    <row r="34" spans="1:19">
      <c r="A34" s="182"/>
      <c r="B34" s="183"/>
      <c r="C34" s="4" t="s">
        <v>17</v>
      </c>
      <c r="D34" s="99">
        <f>C49</f>
        <v>0</v>
      </c>
      <c r="E34" s="99">
        <v>0.14799999999999999</v>
      </c>
      <c r="F34" s="99">
        <v>0.308</v>
      </c>
      <c r="G34" s="99">
        <v>0.48499999999999999</v>
      </c>
      <c r="H34" s="99">
        <v>0.63700000000000001</v>
      </c>
      <c r="I34" s="99">
        <v>0.95599999999999996</v>
      </c>
      <c r="K34" s="193"/>
      <c r="L34" s="194"/>
      <c r="M34" s="118" t="s">
        <v>17</v>
      </c>
      <c r="N34" s="119">
        <f>M49</f>
        <v>0</v>
      </c>
      <c r="O34" s="119">
        <v>0.14799999999999999</v>
      </c>
      <c r="P34" s="119">
        <v>0.308</v>
      </c>
      <c r="Q34" s="119">
        <v>0.48499999999999999</v>
      </c>
      <c r="R34" s="119">
        <v>0.63700000000000001</v>
      </c>
      <c r="S34" s="119">
        <v>0.95599999999999996</v>
      </c>
    </row>
    <row r="35" spans="1:19">
      <c r="A35" s="182"/>
      <c r="B35" s="183" t="s">
        <v>18</v>
      </c>
      <c r="C35" s="4" t="s">
        <v>16</v>
      </c>
      <c r="D35" s="99">
        <v>3.3959999999999999</v>
      </c>
      <c r="E35" s="99">
        <v>3.2370000000000001</v>
      </c>
      <c r="F35" s="99">
        <v>3.073</v>
      </c>
      <c r="G35" s="99">
        <v>2.9089999999999998</v>
      </c>
      <c r="H35" s="99">
        <v>2.7519999999999998</v>
      </c>
      <c r="I35" s="184"/>
      <c r="K35" s="193"/>
      <c r="L35" s="194" t="s">
        <v>18</v>
      </c>
      <c r="M35" s="118" t="s">
        <v>16</v>
      </c>
      <c r="N35" s="119">
        <v>3.3959999999999999</v>
      </c>
      <c r="O35" s="119">
        <v>3.2370000000000001</v>
      </c>
      <c r="P35" s="119">
        <v>3.073</v>
      </c>
      <c r="Q35" s="119">
        <v>2.9089999999999998</v>
      </c>
      <c r="R35" s="119">
        <v>2.7519999999999998</v>
      </c>
      <c r="S35" s="198"/>
    </row>
    <row r="36" spans="1:19">
      <c r="A36" s="182"/>
      <c r="B36" s="183"/>
      <c r="C36" s="4" t="s">
        <v>17</v>
      </c>
      <c r="D36" s="99">
        <f>C50</f>
        <v>3.0000000000000001E-3</v>
      </c>
      <c r="E36" s="99">
        <v>0.16200000000000001</v>
      </c>
      <c r="F36" s="99">
        <v>0.32600000000000001</v>
      </c>
      <c r="G36" s="99">
        <v>0.49</v>
      </c>
      <c r="H36" s="99">
        <v>0.64700000000000002</v>
      </c>
      <c r="I36" s="184"/>
      <c r="K36" s="193"/>
      <c r="L36" s="194"/>
      <c r="M36" s="118" t="s">
        <v>17</v>
      </c>
      <c r="N36" s="119">
        <f>M50</f>
        <v>3.0000000000000001E-3</v>
      </c>
      <c r="O36" s="119">
        <v>0.16200000000000001</v>
      </c>
      <c r="P36" s="119">
        <v>0.32600000000000001</v>
      </c>
      <c r="Q36" s="119">
        <v>0.49</v>
      </c>
      <c r="R36" s="119">
        <v>0.64700000000000002</v>
      </c>
      <c r="S36" s="198"/>
    </row>
    <row r="37" spans="1:19">
      <c r="A37" s="182" t="s">
        <v>19</v>
      </c>
      <c r="B37" s="183" t="s">
        <v>15</v>
      </c>
      <c r="C37" s="4" t="s">
        <v>16</v>
      </c>
      <c r="D37" s="99">
        <v>3.4260000000000002</v>
      </c>
      <c r="E37" s="99">
        <v>3.2789999999999999</v>
      </c>
      <c r="F37" s="99">
        <v>3.1139999999999999</v>
      </c>
      <c r="G37" s="99">
        <v>2.948</v>
      </c>
      <c r="H37" s="99">
        <v>2.7890000000000001</v>
      </c>
      <c r="I37" s="99">
        <v>2.4609999999999999</v>
      </c>
      <c r="K37" s="193" t="s">
        <v>19</v>
      </c>
      <c r="L37" s="194" t="s">
        <v>15</v>
      </c>
      <c r="M37" s="118" t="s">
        <v>16</v>
      </c>
      <c r="N37" s="119">
        <v>3.4260000000000002</v>
      </c>
      <c r="O37" s="119">
        <v>3.2789999999999999</v>
      </c>
      <c r="P37" s="119">
        <v>3.1139999999999999</v>
      </c>
      <c r="Q37" s="119">
        <v>2.948</v>
      </c>
      <c r="R37" s="119">
        <v>2.7890000000000001</v>
      </c>
      <c r="S37" s="119">
        <v>2.4609999999999999</v>
      </c>
    </row>
    <row r="38" spans="1:19">
      <c r="A38" s="182"/>
      <c r="B38" s="183"/>
      <c r="C38" s="4" t="s">
        <v>17</v>
      </c>
      <c r="D38" s="99">
        <f>C51</f>
        <v>0</v>
      </c>
      <c r="E38" s="99">
        <v>0.14699999999999999</v>
      </c>
      <c r="F38" s="99">
        <v>0.312</v>
      </c>
      <c r="G38" s="99">
        <v>0.47799999999999998</v>
      </c>
      <c r="H38" s="99">
        <v>0.63700000000000001</v>
      </c>
      <c r="I38" s="99">
        <v>0.96499999999999997</v>
      </c>
      <c r="K38" s="193"/>
      <c r="L38" s="194"/>
      <c r="M38" s="118" t="s">
        <v>17</v>
      </c>
      <c r="N38" s="119">
        <f>M51</f>
        <v>0</v>
      </c>
      <c r="O38" s="119">
        <v>0.14699999999999999</v>
      </c>
      <c r="P38" s="119">
        <v>0.312</v>
      </c>
      <c r="Q38" s="119">
        <v>0.47799999999999998</v>
      </c>
      <c r="R38" s="119">
        <v>0.63700000000000001</v>
      </c>
      <c r="S38" s="119">
        <v>0.96499999999999997</v>
      </c>
    </row>
    <row r="39" spans="1:19">
      <c r="A39" s="182"/>
      <c r="B39" s="183" t="s">
        <v>18</v>
      </c>
      <c r="C39" s="4" t="s">
        <v>16</v>
      </c>
      <c r="D39" s="99">
        <v>3.419</v>
      </c>
      <c r="E39" s="99">
        <v>3.2530000000000001</v>
      </c>
      <c r="F39" s="99">
        <v>3.0979999999999999</v>
      </c>
      <c r="G39" s="99">
        <v>2.9279999999999999</v>
      </c>
      <c r="H39" s="99">
        <v>2.7719999999999998</v>
      </c>
      <c r="I39" s="184"/>
      <c r="K39" s="193"/>
      <c r="L39" s="194" t="s">
        <v>18</v>
      </c>
      <c r="M39" s="118" t="s">
        <v>16</v>
      </c>
      <c r="N39" s="119">
        <v>3.419</v>
      </c>
      <c r="O39" s="119">
        <v>3.2530000000000001</v>
      </c>
      <c r="P39" s="119">
        <v>3.0979999999999999</v>
      </c>
      <c r="Q39" s="119">
        <v>2.9279999999999999</v>
      </c>
      <c r="R39" s="119">
        <v>2.7719999999999998</v>
      </c>
      <c r="S39" s="198"/>
    </row>
    <row r="40" spans="1:19">
      <c r="A40" s="182"/>
      <c r="B40" s="183"/>
      <c r="C40" s="4" t="s">
        <v>17</v>
      </c>
      <c r="D40" s="99">
        <f>C52</f>
        <v>7.0000000000000001E-3</v>
      </c>
      <c r="E40" s="99">
        <v>0.13700000000000001</v>
      </c>
      <c r="F40" s="99">
        <v>0.32800000000000001</v>
      </c>
      <c r="G40" s="99">
        <v>0.498</v>
      </c>
      <c r="H40" s="99">
        <v>0.65400000000000003</v>
      </c>
      <c r="I40" s="184"/>
      <c r="K40" s="193"/>
      <c r="L40" s="194"/>
      <c r="M40" s="118" t="s">
        <v>17</v>
      </c>
      <c r="N40" s="119">
        <f>M52</f>
        <v>7.0000000000000001E-3</v>
      </c>
      <c r="O40" s="119">
        <v>0.13700000000000001</v>
      </c>
      <c r="P40" s="119">
        <v>0.32800000000000001</v>
      </c>
      <c r="Q40" s="119">
        <v>0.498</v>
      </c>
      <c r="R40" s="119">
        <v>0.65400000000000003</v>
      </c>
      <c r="S40" s="198"/>
    </row>
    <row r="41" spans="1:19">
      <c r="A41" s="182" t="s">
        <v>20</v>
      </c>
      <c r="B41" s="183" t="s">
        <v>15</v>
      </c>
      <c r="C41" s="4" t="s">
        <v>16</v>
      </c>
      <c r="D41" s="99">
        <v>3.419</v>
      </c>
      <c r="E41" s="99">
        <v>3.2709999999999999</v>
      </c>
      <c r="F41" s="99">
        <v>3.109</v>
      </c>
      <c r="G41" s="99">
        <v>2.9390000000000001</v>
      </c>
      <c r="H41" s="99">
        <v>2.7719999999999998</v>
      </c>
      <c r="I41" s="99">
        <v>2.4590000000000001</v>
      </c>
      <c r="K41" s="193" t="s">
        <v>20</v>
      </c>
      <c r="L41" s="194" t="s">
        <v>15</v>
      </c>
      <c r="M41" s="118" t="s">
        <v>16</v>
      </c>
      <c r="N41" s="119">
        <v>3.419</v>
      </c>
      <c r="O41" s="119">
        <v>3.2709999999999999</v>
      </c>
      <c r="P41" s="119">
        <v>3.109</v>
      </c>
      <c r="Q41" s="119">
        <v>2.9390000000000001</v>
      </c>
      <c r="R41" s="119">
        <v>2.7719999999999998</v>
      </c>
      <c r="S41" s="119">
        <v>2.4590000000000001</v>
      </c>
    </row>
    <row r="42" spans="1:19">
      <c r="A42" s="182"/>
      <c r="B42" s="183"/>
      <c r="C42" s="4" t="s">
        <v>17</v>
      </c>
      <c r="D42" s="99">
        <v>0</v>
      </c>
      <c r="E42" s="99">
        <v>0.14799999999999999</v>
      </c>
      <c r="F42" s="99">
        <v>0.31</v>
      </c>
      <c r="G42" s="99">
        <v>0.48</v>
      </c>
      <c r="H42" s="99">
        <v>0.64700000000000002</v>
      </c>
      <c r="I42" s="99">
        <v>0.96</v>
      </c>
      <c r="K42" s="193"/>
      <c r="L42" s="194"/>
      <c r="M42" s="118" t="s">
        <v>17</v>
      </c>
      <c r="N42" s="119">
        <v>0</v>
      </c>
      <c r="O42" s="119">
        <v>0.14799999999999999</v>
      </c>
      <c r="P42" s="119">
        <v>0.31</v>
      </c>
      <c r="Q42" s="119">
        <v>0.48</v>
      </c>
      <c r="R42" s="119">
        <v>0.64700000000000002</v>
      </c>
      <c r="S42" s="119">
        <v>0.96</v>
      </c>
    </row>
    <row r="43" spans="1:19">
      <c r="A43" s="182"/>
      <c r="B43" s="183" t="s">
        <v>18</v>
      </c>
      <c r="C43" s="4" t="s">
        <v>16</v>
      </c>
      <c r="D43" s="99">
        <v>3.4289999999999998</v>
      </c>
      <c r="E43" s="99">
        <v>3.2610000000000001</v>
      </c>
      <c r="F43" s="99">
        <v>3.105</v>
      </c>
      <c r="G43" s="99">
        <v>2.93</v>
      </c>
      <c r="H43" s="99">
        <v>2.77</v>
      </c>
      <c r="I43" s="184"/>
      <c r="K43" s="193"/>
      <c r="L43" s="194" t="s">
        <v>18</v>
      </c>
      <c r="M43" s="118" t="s">
        <v>16</v>
      </c>
      <c r="N43" s="119">
        <v>3.4289999999999998</v>
      </c>
      <c r="O43" s="119">
        <v>3.2610000000000001</v>
      </c>
      <c r="P43" s="119">
        <v>3.105</v>
      </c>
      <c r="Q43" s="119">
        <v>2.93</v>
      </c>
      <c r="R43" s="119">
        <v>2.77</v>
      </c>
      <c r="S43" s="198"/>
    </row>
    <row r="44" spans="1:19">
      <c r="A44" s="182"/>
      <c r="B44" s="183"/>
      <c r="C44" s="4" t="s">
        <v>17</v>
      </c>
      <c r="D44" s="99">
        <v>-0.01</v>
      </c>
      <c r="E44" s="99">
        <v>0.158</v>
      </c>
      <c r="F44" s="99">
        <v>0.314</v>
      </c>
      <c r="G44" s="99">
        <v>0.48899999999999999</v>
      </c>
      <c r="H44" s="99">
        <v>0.64900000000000002</v>
      </c>
      <c r="I44" s="184"/>
      <c r="K44" s="193"/>
      <c r="L44" s="194"/>
      <c r="M44" s="118" t="s">
        <v>17</v>
      </c>
      <c r="N44" s="119">
        <v>-0.01</v>
      </c>
      <c r="O44" s="119">
        <v>0.158</v>
      </c>
      <c r="P44" s="119">
        <v>0.314</v>
      </c>
      <c r="Q44" s="119">
        <v>0.48899999999999999</v>
      </c>
      <c r="R44" s="119">
        <v>0.64900000000000002</v>
      </c>
      <c r="S44" s="198"/>
    </row>
    <row r="47" spans="1:19" ht="19.5" thickBot="1">
      <c r="A47" s="189" t="s">
        <v>94</v>
      </c>
      <c r="B47" s="189"/>
      <c r="C47" s="189"/>
      <c r="K47" s="189" t="s">
        <v>94</v>
      </c>
      <c r="L47" s="189"/>
      <c r="M47" s="189"/>
    </row>
    <row r="48" spans="1:19" ht="19.5" thickBot="1">
      <c r="C48" s="93" t="s">
        <v>92</v>
      </c>
      <c r="D48" s="94" t="s">
        <v>93</v>
      </c>
      <c r="M48" s="93" t="s">
        <v>92</v>
      </c>
      <c r="N48" s="94" t="s">
        <v>93</v>
      </c>
    </row>
    <row r="49" spans="3:14" ht="19.5" thickTop="1">
      <c r="C49" s="100">
        <v>0</v>
      </c>
      <c r="D49" s="95">
        <v>0</v>
      </c>
      <c r="M49" s="106">
        <v>0</v>
      </c>
      <c r="N49" s="95">
        <f>D49</f>
        <v>0</v>
      </c>
    </row>
    <row r="50" spans="3:14">
      <c r="C50" s="100">
        <v>3.0000000000000001E-3</v>
      </c>
      <c r="D50" s="95">
        <v>0</v>
      </c>
      <c r="M50" s="106">
        <v>3.0000000000000001E-3</v>
      </c>
      <c r="N50" s="95">
        <f t="shared" ref="N50:N81" si="0">D50</f>
        <v>0</v>
      </c>
    </row>
    <row r="51" spans="3:14">
      <c r="C51" s="100">
        <v>0</v>
      </c>
      <c r="D51" s="95">
        <v>0</v>
      </c>
      <c r="M51" s="106">
        <v>0</v>
      </c>
      <c r="N51" s="95">
        <f t="shared" si="0"/>
        <v>0</v>
      </c>
    </row>
    <row r="52" spans="3:14">
      <c r="C52" s="100">
        <v>7.0000000000000001E-3</v>
      </c>
      <c r="D52" s="95">
        <v>0</v>
      </c>
      <c r="M52" s="106">
        <v>7.0000000000000001E-3</v>
      </c>
      <c r="N52" s="95">
        <f t="shared" si="0"/>
        <v>0</v>
      </c>
    </row>
    <row r="53" spans="3:14">
      <c r="C53" s="100">
        <v>0</v>
      </c>
      <c r="D53" s="95">
        <v>0</v>
      </c>
      <c r="M53" s="106">
        <v>0</v>
      </c>
      <c r="N53" s="95">
        <f t="shared" si="0"/>
        <v>0</v>
      </c>
    </row>
    <row r="54" spans="3:14">
      <c r="C54" s="101">
        <v>-0.01</v>
      </c>
      <c r="D54" s="96">
        <v>0</v>
      </c>
      <c r="M54" s="107">
        <v>-0.01</v>
      </c>
      <c r="N54" s="112">
        <f t="shared" si="0"/>
        <v>0</v>
      </c>
    </row>
    <row r="55" spans="3:14">
      <c r="C55" s="100">
        <v>0.14799999999999999</v>
      </c>
      <c r="D55" s="95">
        <v>4.9000000000000004</v>
      </c>
      <c r="M55" s="108">
        <f>E34-$D$34</f>
        <v>0.14799999999999999</v>
      </c>
      <c r="N55" s="95">
        <f t="shared" si="0"/>
        <v>4.9000000000000004</v>
      </c>
    </row>
    <row r="56" spans="3:14">
      <c r="C56" s="100">
        <v>0.16200000000000001</v>
      </c>
      <c r="D56" s="95">
        <v>4.9000000000000004</v>
      </c>
      <c r="M56" s="108">
        <f>E36-$D$36</f>
        <v>0.159</v>
      </c>
      <c r="N56" s="95">
        <f t="shared" si="0"/>
        <v>4.9000000000000004</v>
      </c>
    </row>
    <row r="57" spans="3:14">
      <c r="C57" s="100">
        <v>0.14699999999999999</v>
      </c>
      <c r="D57" s="95">
        <v>4.9000000000000004</v>
      </c>
      <c r="M57" s="108">
        <f>E38-D38</f>
        <v>0.14699999999999999</v>
      </c>
      <c r="N57" s="95">
        <f t="shared" si="0"/>
        <v>4.9000000000000004</v>
      </c>
    </row>
    <row r="58" spans="3:14">
      <c r="C58" s="100">
        <v>0.13700000000000001</v>
      </c>
      <c r="D58" s="95">
        <v>4.9000000000000004</v>
      </c>
      <c r="M58" s="108">
        <f>E40-D40</f>
        <v>0.13</v>
      </c>
      <c r="N58" s="95">
        <f t="shared" si="0"/>
        <v>4.9000000000000004</v>
      </c>
    </row>
    <row r="59" spans="3:14">
      <c r="C59" s="100">
        <v>0.14799999999999999</v>
      </c>
      <c r="D59" s="95">
        <v>4.9000000000000004</v>
      </c>
      <c r="M59" s="108">
        <f>E42-D42</f>
        <v>0.14799999999999999</v>
      </c>
      <c r="N59" s="95">
        <f t="shared" si="0"/>
        <v>4.9000000000000004</v>
      </c>
    </row>
    <row r="60" spans="3:14">
      <c r="C60" s="101">
        <v>0.158</v>
      </c>
      <c r="D60" s="96">
        <v>4.9000000000000004</v>
      </c>
      <c r="M60" s="109">
        <f>E44-D44</f>
        <v>0.16800000000000001</v>
      </c>
      <c r="N60" s="112">
        <f t="shared" si="0"/>
        <v>4.9000000000000004</v>
      </c>
    </row>
    <row r="61" spans="3:14">
      <c r="C61" s="102">
        <v>0.308</v>
      </c>
      <c r="D61" s="95">
        <v>9.8000000000000007</v>
      </c>
      <c r="M61" s="108">
        <f>F34-$D$34</f>
        <v>0.308</v>
      </c>
      <c r="N61" s="95">
        <f t="shared" si="0"/>
        <v>9.8000000000000007</v>
      </c>
    </row>
    <row r="62" spans="3:14">
      <c r="C62" s="102">
        <v>0.32600000000000001</v>
      </c>
      <c r="D62" s="95">
        <v>9.8000000000000007</v>
      </c>
      <c r="M62" s="108">
        <f>F36-$D$36</f>
        <v>0.32300000000000001</v>
      </c>
      <c r="N62" s="95">
        <f t="shared" si="0"/>
        <v>9.8000000000000007</v>
      </c>
    </row>
    <row r="63" spans="3:14">
      <c r="C63" s="100">
        <v>0.312</v>
      </c>
      <c r="D63" s="95">
        <v>9.8000000000000007</v>
      </c>
      <c r="M63" s="108">
        <f>F38-D38</f>
        <v>0.312</v>
      </c>
      <c r="N63" s="95">
        <f t="shared" si="0"/>
        <v>9.8000000000000007</v>
      </c>
    </row>
    <row r="64" spans="3:14">
      <c r="C64" s="100">
        <v>0.32800000000000001</v>
      </c>
      <c r="D64" s="95">
        <v>9.8000000000000007</v>
      </c>
      <c r="M64" s="108">
        <f>F40-D40</f>
        <v>0.32100000000000001</v>
      </c>
      <c r="N64" s="95">
        <f t="shared" si="0"/>
        <v>9.8000000000000007</v>
      </c>
    </row>
    <row r="65" spans="3:14">
      <c r="C65" s="102">
        <v>0.31</v>
      </c>
      <c r="D65" s="95">
        <v>9.8000000000000007</v>
      </c>
      <c r="M65" s="108">
        <f>F42-D42</f>
        <v>0.31</v>
      </c>
      <c r="N65" s="95">
        <f t="shared" si="0"/>
        <v>9.8000000000000007</v>
      </c>
    </row>
    <row r="66" spans="3:14">
      <c r="C66" s="101">
        <v>0.314</v>
      </c>
      <c r="D66" s="96">
        <v>9.8000000000000007</v>
      </c>
      <c r="M66" s="109">
        <f>F44-D44</f>
        <v>0.32400000000000001</v>
      </c>
      <c r="N66" s="112">
        <f t="shared" si="0"/>
        <v>9.8000000000000007</v>
      </c>
    </row>
    <row r="67" spans="3:14">
      <c r="C67" s="102">
        <v>0.48499999999999999</v>
      </c>
      <c r="D67" s="95">
        <v>14.7</v>
      </c>
      <c r="M67" s="108">
        <f>G34-D34</f>
        <v>0.48499999999999999</v>
      </c>
      <c r="N67" s="95">
        <f t="shared" si="0"/>
        <v>14.7</v>
      </c>
    </row>
    <row r="68" spans="3:14">
      <c r="C68" s="102">
        <v>0.49</v>
      </c>
      <c r="D68" s="95">
        <v>14.7</v>
      </c>
      <c r="M68" s="108">
        <f>G36-D36</f>
        <v>0.48699999999999999</v>
      </c>
      <c r="N68" s="95">
        <f t="shared" si="0"/>
        <v>14.7</v>
      </c>
    </row>
    <row r="69" spans="3:14">
      <c r="C69" s="100">
        <v>0.47799999999999998</v>
      </c>
      <c r="D69" s="95">
        <v>14.7</v>
      </c>
      <c r="M69" s="108">
        <f>G38-D38</f>
        <v>0.47799999999999998</v>
      </c>
      <c r="N69" s="95">
        <f t="shared" si="0"/>
        <v>14.7</v>
      </c>
    </row>
    <row r="70" spans="3:14">
      <c r="C70" s="100">
        <v>0.498</v>
      </c>
      <c r="D70" s="95">
        <v>14.7</v>
      </c>
      <c r="M70" s="108">
        <f>G40-D40</f>
        <v>0.49099999999999999</v>
      </c>
      <c r="N70" s="95">
        <f t="shared" si="0"/>
        <v>14.7</v>
      </c>
    </row>
    <row r="71" spans="3:14">
      <c r="C71" s="102">
        <v>0.48</v>
      </c>
      <c r="D71" s="95">
        <v>14.7</v>
      </c>
      <c r="M71" s="108">
        <f>G42-D42</f>
        <v>0.48</v>
      </c>
      <c r="N71" s="95">
        <f t="shared" si="0"/>
        <v>14.7</v>
      </c>
    </row>
    <row r="72" spans="3:14">
      <c r="C72" s="101">
        <v>0.48899999999999999</v>
      </c>
      <c r="D72" s="96">
        <v>14.7</v>
      </c>
      <c r="M72" s="109">
        <f>G44-D44</f>
        <v>0.499</v>
      </c>
      <c r="N72" s="112">
        <f t="shared" si="0"/>
        <v>14.7</v>
      </c>
    </row>
    <row r="73" spans="3:14">
      <c r="C73" s="102">
        <v>0.63700000000000001</v>
      </c>
      <c r="D73" s="95">
        <v>19.600000000000001</v>
      </c>
      <c r="M73" s="108">
        <f>H34-D34</f>
        <v>0.63700000000000001</v>
      </c>
      <c r="N73" s="95">
        <f t="shared" si="0"/>
        <v>19.600000000000001</v>
      </c>
    </row>
    <row r="74" spans="3:14">
      <c r="C74" s="100">
        <v>0.64700000000000002</v>
      </c>
      <c r="D74" s="95">
        <v>19.600000000000001</v>
      </c>
      <c r="M74" s="108">
        <f>H36-D36</f>
        <v>0.64400000000000002</v>
      </c>
      <c r="N74" s="95">
        <f t="shared" si="0"/>
        <v>19.600000000000001</v>
      </c>
    </row>
    <row r="75" spans="3:14">
      <c r="C75" s="100">
        <v>0.63700000000000001</v>
      </c>
      <c r="D75" s="95">
        <v>19.600000000000001</v>
      </c>
      <c r="M75" s="108">
        <f>H38-D38</f>
        <v>0.63700000000000001</v>
      </c>
      <c r="N75" s="95">
        <f t="shared" si="0"/>
        <v>19.600000000000001</v>
      </c>
    </row>
    <row r="76" spans="3:14">
      <c r="C76" s="100">
        <v>0.65400000000000003</v>
      </c>
      <c r="D76" s="95">
        <v>19.600000000000001</v>
      </c>
      <c r="M76" s="108">
        <f>H40-D40</f>
        <v>0.64700000000000002</v>
      </c>
      <c r="N76" s="95">
        <f t="shared" si="0"/>
        <v>19.600000000000001</v>
      </c>
    </row>
    <row r="77" spans="3:14">
      <c r="C77" s="100">
        <v>0.64700000000000002</v>
      </c>
      <c r="D77" s="95">
        <v>19.600000000000001</v>
      </c>
      <c r="M77" s="108">
        <f>H42-D42</f>
        <v>0.64700000000000002</v>
      </c>
      <c r="N77" s="95">
        <f t="shared" si="0"/>
        <v>19.600000000000001</v>
      </c>
    </row>
    <row r="78" spans="3:14">
      <c r="C78" s="101">
        <v>0.64900000000000002</v>
      </c>
      <c r="D78" s="96">
        <v>19.600000000000001</v>
      </c>
      <c r="M78" s="109">
        <f>H44-D44</f>
        <v>0.65900000000000003</v>
      </c>
      <c r="N78" s="112">
        <f t="shared" si="0"/>
        <v>19.600000000000001</v>
      </c>
    </row>
    <row r="79" spans="3:14">
      <c r="C79" s="102">
        <v>0.95599999999999996</v>
      </c>
      <c r="D79" s="95">
        <v>29.4</v>
      </c>
      <c r="M79" s="110">
        <f>I34-D34</f>
        <v>0.95599999999999996</v>
      </c>
      <c r="N79" s="95">
        <f t="shared" si="0"/>
        <v>29.4</v>
      </c>
    </row>
    <row r="80" spans="3:14">
      <c r="C80" s="100">
        <v>0.96499999999999997</v>
      </c>
      <c r="D80" s="95">
        <v>29.4</v>
      </c>
      <c r="M80" s="108">
        <f>I38-D38</f>
        <v>0.96499999999999997</v>
      </c>
      <c r="N80" s="95">
        <f t="shared" si="0"/>
        <v>29.4</v>
      </c>
    </row>
    <row r="81" spans="3:14" ht="19.5" thickBot="1">
      <c r="C81" s="103">
        <v>0.96</v>
      </c>
      <c r="D81" s="97">
        <v>29.4</v>
      </c>
      <c r="M81" s="111">
        <f>I42-D42</f>
        <v>0.96</v>
      </c>
      <c r="N81" s="120">
        <f t="shared" si="0"/>
        <v>29.4</v>
      </c>
    </row>
  </sheetData>
  <mergeCells count="38">
    <mergeCell ref="S39:S40"/>
    <mergeCell ref="K41:K44"/>
    <mergeCell ref="L41:L42"/>
    <mergeCell ref="L43:L44"/>
    <mergeCell ref="S43:S44"/>
    <mergeCell ref="N31:S31"/>
    <mergeCell ref="K33:K36"/>
    <mergeCell ref="L33:L34"/>
    <mergeCell ref="L35:L36"/>
    <mergeCell ref="S35:S36"/>
    <mergeCell ref="A47:C47"/>
    <mergeCell ref="A30:C30"/>
    <mergeCell ref="A6:C6"/>
    <mergeCell ref="K30:M30"/>
    <mergeCell ref="K31:L32"/>
    <mergeCell ref="K37:K40"/>
    <mergeCell ref="L37:L38"/>
    <mergeCell ref="L39:L40"/>
    <mergeCell ref="K47:M47"/>
    <mergeCell ref="A10:C10"/>
    <mergeCell ref="G8:M8"/>
    <mergeCell ref="A41:A44"/>
    <mergeCell ref="B41:B42"/>
    <mergeCell ref="B43:B44"/>
    <mergeCell ref="I43:I44"/>
    <mergeCell ref="A1:E1"/>
    <mergeCell ref="C3:C4"/>
    <mergeCell ref="E3:K4"/>
    <mergeCell ref="A37:A40"/>
    <mergeCell ref="B37:B38"/>
    <mergeCell ref="B39:B40"/>
    <mergeCell ref="I39:I40"/>
    <mergeCell ref="A31:B32"/>
    <mergeCell ref="D31:I31"/>
    <mergeCell ref="A33:A36"/>
    <mergeCell ref="B33:B34"/>
    <mergeCell ref="B35:B36"/>
    <mergeCell ref="I35:I36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8"/>
  <sheetViews>
    <sheetView workbookViewId="0">
      <selection activeCell="B19" sqref="B19:C21"/>
    </sheetView>
  </sheetViews>
  <sheetFormatPr defaultColWidth="8.875" defaultRowHeight="18.75"/>
  <cols>
    <col min="1" max="1" width="26" customWidth="1"/>
    <col min="2" max="2" width="31.625" customWidth="1"/>
    <col min="3" max="3" width="16.625" customWidth="1"/>
    <col min="4" max="4" width="16.875" customWidth="1"/>
    <col min="5" max="5" width="24.25" customWidth="1"/>
    <col min="6" max="6" width="23.875" customWidth="1"/>
    <col min="7" max="7" width="16.875" customWidth="1"/>
    <col min="8" max="8" width="32.625" customWidth="1"/>
  </cols>
  <sheetData>
    <row r="1" spans="1:10">
      <c r="A1" s="204" t="s">
        <v>104</v>
      </c>
      <c r="B1" s="204"/>
    </row>
    <row r="3" spans="1:10">
      <c r="B3" s="164" t="s">
        <v>55</v>
      </c>
      <c r="C3" s="48" t="s">
        <v>56</v>
      </c>
      <c r="D3" s="180" t="s">
        <v>107</v>
      </c>
      <c r="E3" s="181"/>
      <c r="F3" s="181"/>
      <c r="G3" s="181"/>
      <c r="H3" s="181"/>
      <c r="I3" s="181"/>
      <c r="J3" s="181"/>
    </row>
    <row r="4" spans="1:10">
      <c r="B4" s="164"/>
      <c r="C4" s="37" t="s">
        <v>63</v>
      </c>
      <c r="D4" s="181"/>
      <c r="E4" s="181"/>
      <c r="F4" s="181"/>
      <c r="G4" s="181"/>
      <c r="H4" s="181"/>
      <c r="I4" s="181"/>
      <c r="J4" s="181"/>
    </row>
    <row r="6" spans="1:10">
      <c r="A6" s="78" t="s">
        <v>108</v>
      </c>
    </row>
    <row r="7" spans="1:10">
      <c r="B7" t="s">
        <v>109</v>
      </c>
    </row>
    <row r="8" spans="1:10" ht="19.5" thickBot="1">
      <c r="B8" s="128"/>
      <c r="C8" s="128" t="s">
        <v>110</v>
      </c>
      <c r="D8" s="128" t="s">
        <v>111</v>
      </c>
      <c r="E8" s="128" t="s">
        <v>103</v>
      </c>
      <c r="F8" s="128" t="s">
        <v>112</v>
      </c>
      <c r="G8" s="129" t="s">
        <v>125</v>
      </c>
      <c r="H8" s="129" t="s">
        <v>126</v>
      </c>
    </row>
    <row r="9" spans="1:10" ht="19.5" thickTop="1">
      <c r="B9" s="127" t="s">
        <v>129</v>
      </c>
      <c r="C9" s="131">
        <v>0.12</v>
      </c>
      <c r="D9" s="131">
        <v>0.22</v>
      </c>
      <c r="E9" s="131">
        <v>0.32</v>
      </c>
      <c r="F9" s="131">
        <v>0.6</v>
      </c>
      <c r="G9" s="131">
        <v>0.3</v>
      </c>
      <c r="H9" s="127">
        <f>F9-G9</f>
        <v>0.3</v>
      </c>
    </row>
    <row r="10" spans="1:10">
      <c r="B10" s="127" t="s">
        <v>130</v>
      </c>
      <c r="C10" s="131">
        <v>0.12</v>
      </c>
      <c r="D10" s="131">
        <v>0.22</v>
      </c>
      <c r="E10" s="131">
        <v>0.32</v>
      </c>
      <c r="F10" s="131">
        <v>0.6</v>
      </c>
      <c r="G10" s="131">
        <v>0.3</v>
      </c>
      <c r="H10" s="127">
        <f>F10-G10</f>
        <v>0.3</v>
      </c>
    </row>
    <row r="11" spans="1:10">
      <c r="B11" s="127" t="s">
        <v>133</v>
      </c>
      <c r="C11" s="131">
        <v>0.12</v>
      </c>
      <c r="D11" s="131">
        <v>0.22</v>
      </c>
      <c r="E11" s="131">
        <v>0.32</v>
      </c>
      <c r="F11" s="131">
        <v>0.6</v>
      </c>
      <c r="G11" s="131">
        <v>0.3</v>
      </c>
      <c r="H11" s="127">
        <f>F11-G11</f>
        <v>0.3</v>
      </c>
    </row>
    <row r="12" spans="1:10">
      <c r="B12" s="123" t="s">
        <v>113</v>
      </c>
      <c r="C12" s="123"/>
      <c r="D12" s="123"/>
      <c r="E12" s="123"/>
    </row>
    <row r="13" spans="1:10" ht="19.5" thickBot="1">
      <c r="B13" s="129"/>
      <c r="C13" s="128" t="s">
        <v>117</v>
      </c>
      <c r="D13" s="128" t="s">
        <v>25</v>
      </c>
      <c r="E13" s="128" t="s">
        <v>119</v>
      </c>
      <c r="F13" s="129" t="s">
        <v>134</v>
      </c>
    </row>
    <row r="14" spans="1:10" ht="19.5" thickTop="1">
      <c r="B14" s="124" t="s">
        <v>114</v>
      </c>
      <c r="C14" s="130">
        <v>19.600000000000001</v>
      </c>
      <c r="D14" s="131">
        <v>19.600000000000001</v>
      </c>
      <c r="E14" s="125">
        <f>D14+F14</f>
        <v>17.600000000000001</v>
      </c>
      <c r="F14" s="131">
        <f>-2</f>
        <v>-2</v>
      </c>
    </row>
    <row r="15" spans="1:10">
      <c r="B15" s="121" t="s">
        <v>115</v>
      </c>
      <c r="C15" s="123"/>
      <c r="D15" s="123"/>
      <c r="E15" s="123"/>
    </row>
    <row r="16" spans="1:10" ht="19.5" thickBot="1">
      <c r="B16" s="129"/>
      <c r="C16" s="128" t="s">
        <v>117</v>
      </c>
      <c r="D16" s="128" t="s">
        <v>25</v>
      </c>
      <c r="E16" s="128" t="s">
        <v>119</v>
      </c>
    </row>
    <row r="17" spans="2:9" ht="19.5" thickTop="1">
      <c r="B17" s="125" t="s">
        <v>116</v>
      </c>
      <c r="C17" s="127">
        <f>'実験1-試験片寸法-計算用'!C9</f>
        <v>207</v>
      </c>
      <c r="D17" s="127">
        <f>'実験1-試験片寸法-計算用'!C15</f>
        <v>206</v>
      </c>
      <c r="E17" s="127">
        <f>'実験1-試験片寸法-計算用'!C12</f>
        <v>206</v>
      </c>
    </row>
    <row r="18" spans="2:9">
      <c r="B18" s="121" t="s">
        <v>122</v>
      </c>
      <c r="C18" s="123"/>
      <c r="D18" s="123"/>
      <c r="E18" s="123"/>
    </row>
    <row r="19" spans="2:9" ht="19.5" thickBot="1">
      <c r="B19" s="129"/>
      <c r="C19" s="128" t="s">
        <v>117</v>
      </c>
      <c r="D19" s="128" t="s">
        <v>25</v>
      </c>
      <c r="E19" s="128" t="s">
        <v>119</v>
      </c>
      <c r="F19" s="129" t="s">
        <v>134</v>
      </c>
    </row>
    <row r="20" spans="2:9" ht="19.5" thickTop="1">
      <c r="B20" s="125" t="s">
        <v>123</v>
      </c>
      <c r="C20" s="127">
        <f>'実験1-試験片寸法-計算用'!K25</f>
        <v>31.88</v>
      </c>
      <c r="D20" s="127">
        <f>'実験1-試験片寸法-計算用'!E32</f>
        <v>32</v>
      </c>
      <c r="E20" s="125">
        <f>D20+F20</f>
        <v>32.200000000000003</v>
      </c>
      <c r="F20" s="131">
        <v>0.2</v>
      </c>
    </row>
    <row r="21" spans="2:9">
      <c r="B21" s="126" t="s">
        <v>124</v>
      </c>
      <c r="C21" s="124">
        <f>'実験1-試験片寸法-計算用'!L25</f>
        <v>4.9400000000000004</v>
      </c>
      <c r="D21" s="132">
        <f>'実験1-試験片寸法-計算用'!F32</f>
        <v>5</v>
      </c>
      <c r="E21" s="125">
        <f>D21+F21</f>
        <v>5.0999999999999996</v>
      </c>
      <c r="F21" s="130">
        <v>0.1</v>
      </c>
    </row>
    <row r="22" spans="2:9">
      <c r="B22" s="121" t="s">
        <v>120</v>
      </c>
      <c r="C22" s="123"/>
      <c r="D22" s="123"/>
      <c r="E22" s="123"/>
    </row>
    <row r="23" spans="2:9" ht="19.5" thickBot="1">
      <c r="B23" s="129"/>
      <c r="C23" s="128" t="s">
        <v>117</v>
      </c>
      <c r="D23" s="128" t="s">
        <v>25</v>
      </c>
      <c r="E23" s="128" t="s">
        <v>127</v>
      </c>
      <c r="F23" s="129" t="s">
        <v>128</v>
      </c>
      <c r="G23" s="129" t="s">
        <v>119</v>
      </c>
      <c r="H23" s="128" t="s">
        <v>127</v>
      </c>
      <c r="I23" s="128" t="s">
        <v>128</v>
      </c>
    </row>
    <row r="24" spans="2:9" ht="19.5" thickTop="1">
      <c r="B24" s="125" t="s">
        <v>121</v>
      </c>
      <c r="C24" s="127">
        <f>(C20*C21^2)/6</f>
        <v>129.66446133333335</v>
      </c>
      <c r="D24" s="127">
        <f>(D20*D21^2)/6</f>
        <v>133.33333333333334</v>
      </c>
      <c r="E24" s="127">
        <f>C24-D24</f>
        <v>-3.6688719999999932</v>
      </c>
      <c r="F24" s="133">
        <f>E24/D24</f>
        <v>-2.7516539999999947E-2</v>
      </c>
      <c r="G24" s="127">
        <f>E20*(E21^2)/6</f>
        <v>139.58700000000002</v>
      </c>
      <c r="H24" s="127">
        <f>G24-D24</f>
        <v>6.2536666666666747</v>
      </c>
      <c r="I24" s="127">
        <f>H24/D24</f>
        <v>4.6902500000000055E-2</v>
      </c>
    </row>
    <row r="25" spans="2:9">
      <c r="B25" s="121" t="s">
        <v>131</v>
      </c>
      <c r="C25" s="123"/>
      <c r="D25" s="123"/>
      <c r="E25" s="123"/>
    </row>
    <row r="26" spans="2:9" ht="19.5" thickBot="1">
      <c r="B26" s="128"/>
      <c r="C26" s="128" t="s">
        <v>117</v>
      </c>
      <c r="D26" s="128" t="s">
        <v>25</v>
      </c>
      <c r="E26" s="128" t="s">
        <v>127</v>
      </c>
      <c r="F26" s="129" t="s">
        <v>128</v>
      </c>
      <c r="G26" s="129" t="s">
        <v>119</v>
      </c>
      <c r="H26" s="128" t="s">
        <v>127</v>
      </c>
      <c r="I26" s="128" t="s">
        <v>128</v>
      </c>
    </row>
    <row r="27" spans="2:9" ht="19.5" thickTop="1">
      <c r="B27" s="127" t="s">
        <v>110</v>
      </c>
      <c r="C27" s="125">
        <f>($H$10/$F$10)*$C$14*C10</f>
        <v>1.1759999999999999</v>
      </c>
      <c r="D27" s="125">
        <f>($H$9/$F$9)*$D$14*C9</f>
        <v>1.1759999999999999</v>
      </c>
      <c r="E27" s="127">
        <f>C27-D27</f>
        <v>0</v>
      </c>
      <c r="F27" s="133">
        <f>E27/D27</f>
        <v>0</v>
      </c>
      <c r="G27" s="127">
        <f>(H11/F11)*E14*C11</f>
        <v>1.056</v>
      </c>
      <c r="H27" s="127">
        <f>G27-D27</f>
        <v>-0.11999999999999988</v>
      </c>
      <c r="I27" s="127">
        <f>H27/D27</f>
        <v>-0.10204081632653052</v>
      </c>
    </row>
    <row r="28" spans="2:9">
      <c r="B28" s="124" t="s">
        <v>111</v>
      </c>
      <c r="C28" s="125">
        <f>($H$10/$F$10)*$C$14*D10</f>
        <v>2.1560000000000001</v>
      </c>
      <c r="D28" s="125">
        <f>($H$9/$F$9)*$D$14*D9</f>
        <v>2.1560000000000001</v>
      </c>
      <c r="E28" s="127">
        <f t="shared" ref="E28:E29" si="0">C28-D28</f>
        <v>0</v>
      </c>
      <c r="F28" s="133">
        <f t="shared" ref="F28:F29" si="1">E28/D28</f>
        <v>0</v>
      </c>
      <c r="G28" s="124">
        <f>(H11/F11)*E14*D11</f>
        <v>1.9360000000000002</v>
      </c>
      <c r="H28" s="124">
        <f t="shared" ref="H28:H29" si="2">G28-D28</f>
        <v>-0.21999999999999997</v>
      </c>
      <c r="I28" s="124">
        <f t="shared" ref="I28:I29" si="3">H28/D28</f>
        <v>-0.10204081632653059</v>
      </c>
    </row>
    <row r="29" spans="2:9">
      <c r="B29" s="124" t="s">
        <v>103</v>
      </c>
      <c r="C29" s="126">
        <f>(G10/$F$10)*$C$14*(F10-E10)</f>
        <v>2.7439999999999998</v>
      </c>
      <c r="D29" s="126">
        <f>(H10/$F$10)*$C$14*(F10-E10)</f>
        <v>2.7439999999999998</v>
      </c>
      <c r="E29" s="127">
        <f t="shared" si="0"/>
        <v>0</v>
      </c>
      <c r="F29" s="133">
        <f t="shared" si="1"/>
        <v>0</v>
      </c>
      <c r="G29" s="124">
        <f>(G11/F11)*E14*E11</f>
        <v>2.8160000000000003</v>
      </c>
      <c r="H29" s="124">
        <f t="shared" si="2"/>
        <v>7.2000000000000508E-2</v>
      </c>
      <c r="I29" s="124">
        <f t="shared" si="3"/>
        <v>2.6239067055393774E-2</v>
      </c>
    </row>
    <row r="30" spans="2:9">
      <c r="B30" s="123" t="s">
        <v>132</v>
      </c>
      <c r="C30" s="123"/>
      <c r="D30" s="123"/>
      <c r="E30" s="123"/>
    </row>
    <row r="31" spans="2:9" ht="19.5" thickBot="1">
      <c r="B31" s="128"/>
      <c r="C31" s="128" t="s">
        <v>117</v>
      </c>
      <c r="D31" s="128" t="s">
        <v>25</v>
      </c>
      <c r="E31" s="128" t="s">
        <v>127</v>
      </c>
      <c r="F31" s="129" t="s">
        <v>128</v>
      </c>
      <c r="G31" s="139" t="s">
        <v>119</v>
      </c>
      <c r="H31" s="128" t="s">
        <v>127</v>
      </c>
      <c r="I31" s="128" t="s">
        <v>128</v>
      </c>
    </row>
    <row r="32" spans="2:9" ht="19.5" thickTop="1">
      <c r="B32" s="127" t="s">
        <v>135</v>
      </c>
      <c r="C32" s="134">
        <f>(C27/(($C$24*(10^(-9)))*($C$17*10^9)))*(10^6)</f>
        <v>43.814313975246336</v>
      </c>
      <c r="D32" s="134">
        <f>(D27/(($D$24*(10^(-9)))*($C$17*10^9)))*(10^6)</f>
        <v>42.6086956521739</v>
      </c>
      <c r="E32" s="127">
        <f>C32-D32</f>
        <v>1.2056183230724358</v>
      </c>
      <c r="F32" s="133">
        <f>E32/D32</f>
        <v>2.8295123908842888E-2</v>
      </c>
      <c r="G32" s="138">
        <f>(G27/($G$24*(10*(-9))*(1/$E$17*10^9)))*(10^6)</f>
        <v>-1.7315843643510261E-5</v>
      </c>
      <c r="H32" s="127">
        <f>G32-D32</f>
        <v>-42.608712968017542</v>
      </c>
      <c r="I32" s="127">
        <f>H32/D32</f>
        <v>-1.0000004063922487</v>
      </c>
    </row>
    <row r="33" spans="1:9">
      <c r="B33" s="124" t="s">
        <v>136</v>
      </c>
      <c r="C33" s="134">
        <f>(C28/(($C$24*(10^(-9)))*($C$17*10^9)))*(10^6)</f>
        <v>80.326242287951615</v>
      </c>
      <c r="D33" s="134">
        <f>(D28/(($D$24*(10^(-9)))*($C$17*10^9)))*(10^6)</f>
        <v>78.115942028985486</v>
      </c>
      <c r="E33" s="127">
        <f t="shared" ref="E33" si="4">C33-D33</f>
        <v>2.2103002589661287</v>
      </c>
      <c r="F33" s="133">
        <f t="shared" ref="F33:F34" si="5">E33/D33</f>
        <v>2.8295123908842843E-2</v>
      </c>
      <c r="G33" s="138">
        <f t="shared" ref="G33:G34" si="6">(G28/($G$24*(10*(-9))*(1/$E$17*10^9)))*(10^6)</f>
        <v>-3.1745713346435478E-5</v>
      </c>
      <c r="H33" s="124">
        <f t="shared" ref="H33" si="7">G33-D33</f>
        <v>-78.11597377469883</v>
      </c>
      <c r="I33" s="124">
        <f t="shared" ref="I33" si="8">H33/D33</f>
        <v>-1.0000004063922487</v>
      </c>
    </row>
    <row r="34" spans="1:9">
      <c r="B34" s="124" t="s">
        <v>137</v>
      </c>
      <c r="C34" s="134">
        <f>(C29/(($C$24*(10^(-9)))*($C$17*10^9)))*(10^6)</f>
        <v>102.23339927557477</v>
      </c>
      <c r="D34" s="134">
        <f>(D29/(($D$24*(10^(-9)))*($C$17*10^9)))*(10^6)</f>
        <v>99.420289855072426</v>
      </c>
      <c r="E34" s="135">
        <f>C34-D34</f>
        <v>2.813109420502343</v>
      </c>
      <c r="F34" s="133">
        <f t="shared" si="5"/>
        <v>2.8295123908842819E-2</v>
      </c>
      <c r="G34" s="138">
        <f t="shared" si="6"/>
        <v>-4.6175583049360695E-5</v>
      </c>
      <c r="H34" s="124">
        <f t="shared" ref="H34" si="9">G34-D34</f>
        <v>-99.420336030655477</v>
      </c>
      <c r="I34" s="124">
        <f t="shared" ref="I34" si="10">H34/D34</f>
        <v>-1.0000004644482843</v>
      </c>
    </row>
    <row r="35" spans="1:9">
      <c r="A35" s="78" t="s">
        <v>102</v>
      </c>
      <c r="B35" s="123"/>
      <c r="C35" s="123"/>
      <c r="D35" s="123"/>
      <c r="E35" s="123"/>
    </row>
    <row r="36" spans="1:9">
      <c r="B36" s="202" t="s">
        <v>23</v>
      </c>
      <c r="C36" s="199" t="s">
        <v>28</v>
      </c>
      <c r="D36" s="200"/>
      <c r="E36" s="200"/>
      <c r="F36" s="200"/>
      <c r="G36" s="201"/>
    </row>
    <row r="37" spans="1:9" ht="19.5" thickBot="1">
      <c r="B37" s="203"/>
      <c r="C37" s="16" t="s">
        <v>14</v>
      </c>
      <c r="D37" s="16" t="s">
        <v>19</v>
      </c>
      <c r="E37" s="16" t="s">
        <v>20</v>
      </c>
      <c r="F37" s="85" t="s">
        <v>24</v>
      </c>
      <c r="G37" s="85" t="s">
        <v>25</v>
      </c>
    </row>
    <row r="38" spans="1:9" ht="19.5" thickTop="1">
      <c r="B38" s="15" t="s">
        <v>26</v>
      </c>
      <c r="C38" s="20">
        <v>-49</v>
      </c>
      <c r="D38" s="20">
        <v>-46.5</v>
      </c>
      <c r="E38" s="20">
        <v>-44</v>
      </c>
      <c r="F38" s="18">
        <f>AVERAGE(C38:E38)</f>
        <v>-46.5</v>
      </c>
      <c r="G38" s="136">
        <f>C32</f>
        <v>43.814313975246336</v>
      </c>
    </row>
    <row r="39" spans="1:9">
      <c r="B39" s="14" t="s">
        <v>27</v>
      </c>
      <c r="C39" s="21">
        <v>-89</v>
      </c>
      <c r="D39" s="21">
        <v>-85.75</v>
      </c>
      <c r="E39" s="21">
        <v>-82.25</v>
      </c>
      <c r="F39" s="18">
        <f t="shared" ref="F39:F40" si="11">AVERAGE(C39:E39)</f>
        <v>-85.666666666666671</v>
      </c>
      <c r="G39" s="137">
        <f>C33</f>
        <v>80.326242287951615</v>
      </c>
    </row>
    <row r="40" spans="1:9">
      <c r="B40" s="14" t="s">
        <v>29</v>
      </c>
      <c r="C40" s="21">
        <v>-203.75</v>
      </c>
      <c r="D40" s="21">
        <v>-214.25</v>
      </c>
      <c r="E40" s="21">
        <v>-218.5</v>
      </c>
      <c r="F40" s="18">
        <f t="shared" si="11"/>
        <v>-212.16666666666666</v>
      </c>
      <c r="G40" s="137">
        <f>C34*2</f>
        <v>204.46679855114954</v>
      </c>
    </row>
    <row r="41" spans="1:9">
      <c r="B41" s="19" t="s">
        <v>103</v>
      </c>
      <c r="C41" s="137">
        <f>C40/2</f>
        <v>-101.875</v>
      </c>
      <c r="D41" s="137">
        <f t="shared" ref="D41:F41" si="12">D40/2</f>
        <v>-107.125</v>
      </c>
      <c r="E41" s="137">
        <f t="shared" si="12"/>
        <v>-109.25</v>
      </c>
      <c r="F41" s="19">
        <f t="shared" si="12"/>
        <v>-106.08333333333333</v>
      </c>
      <c r="G41" s="137">
        <f>C34</f>
        <v>102.23339927557477</v>
      </c>
    </row>
    <row r="48" spans="1:9" ht="18" customHeight="1"/>
  </sheetData>
  <mergeCells count="5">
    <mergeCell ref="C36:G36"/>
    <mergeCell ref="B36:B37"/>
    <mergeCell ref="A1:B1"/>
    <mergeCell ref="B3:B4"/>
    <mergeCell ref="D3:J4"/>
  </mergeCells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29"/>
  <sheetViews>
    <sheetView tabSelected="1" topLeftCell="A25" zoomScale="57" zoomScaleNormal="57" workbookViewId="0">
      <selection activeCell="L30" sqref="L30"/>
    </sheetView>
  </sheetViews>
  <sheetFormatPr defaultColWidth="13" defaultRowHeight="18.75"/>
  <cols>
    <col min="1" max="1" width="13" style="212"/>
    <col min="2" max="2" width="31.125" customWidth="1"/>
    <col min="3" max="3" width="14.375" customWidth="1"/>
    <col min="4" max="4" width="16.125" customWidth="1"/>
    <col min="5" max="5" width="25.125" customWidth="1"/>
    <col min="6" max="6" width="24.25" customWidth="1"/>
    <col min="7" max="7" width="20.25" customWidth="1"/>
    <col min="8" max="8" width="34.25" customWidth="1"/>
    <col min="10" max="10" width="21.25" customWidth="1"/>
    <col min="11" max="11" width="21.5" customWidth="1"/>
    <col min="12" max="12" width="27.5" customWidth="1"/>
    <col min="13" max="13" width="23.25" customWidth="1"/>
    <col min="14" max="14" width="25" customWidth="1"/>
    <col min="15" max="15" width="17.125" customWidth="1"/>
    <col min="16" max="16" width="21.25" customWidth="1"/>
  </cols>
  <sheetData>
    <row r="1" spans="1:10">
      <c r="A1" s="204" t="s">
        <v>149</v>
      </c>
      <c r="B1" s="204"/>
    </row>
    <row r="2" spans="1:10">
      <c r="A2"/>
    </row>
    <row r="3" spans="1:10">
      <c r="A3"/>
      <c r="B3" s="164" t="s">
        <v>55</v>
      </c>
      <c r="C3" s="48" t="s">
        <v>56</v>
      </c>
      <c r="D3" s="180" t="s">
        <v>107</v>
      </c>
      <c r="E3" s="181"/>
      <c r="F3" s="181"/>
      <c r="G3" s="181"/>
      <c r="H3" s="181"/>
      <c r="I3" s="181"/>
      <c r="J3" s="181"/>
    </row>
    <row r="4" spans="1:10">
      <c r="A4"/>
      <c r="B4" s="164"/>
      <c r="C4" s="37" t="s">
        <v>63</v>
      </c>
      <c r="D4" s="181"/>
      <c r="E4" s="181"/>
      <c r="F4" s="181"/>
      <c r="G4" s="181"/>
      <c r="H4" s="181"/>
      <c r="I4" s="181"/>
      <c r="J4" s="181"/>
    </row>
    <row r="5" spans="1:10">
      <c r="A5"/>
    </row>
    <row r="6" spans="1:10">
      <c r="A6" s="78" t="s">
        <v>108</v>
      </c>
    </row>
    <row r="7" spans="1:10">
      <c r="A7"/>
      <c r="B7" t="s">
        <v>109</v>
      </c>
    </row>
    <row r="8" spans="1:10" ht="19.5" thickBot="1">
      <c r="A8"/>
      <c r="B8" s="128"/>
      <c r="C8" s="128" t="s">
        <v>110</v>
      </c>
      <c r="D8" s="128" t="s">
        <v>111</v>
      </c>
      <c r="E8" s="128" t="s">
        <v>103</v>
      </c>
      <c r="F8" s="128" t="s">
        <v>112</v>
      </c>
      <c r="G8" s="129" t="s">
        <v>125</v>
      </c>
      <c r="H8" s="129" t="s">
        <v>126</v>
      </c>
    </row>
    <row r="9" spans="1:10" ht="19.5" thickTop="1">
      <c r="A9"/>
      <c r="B9" s="127" t="s">
        <v>129</v>
      </c>
      <c r="C9" s="131">
        <v>0.12</v>
      </c>
      <c r="D9" s="131">
        <v>0.22</v>
      </c>
      <c r="E9" s="131">
        <v>0.32</v>
      </c>
      <c r="F9" s="131">
        <v>0.62</v>
      </c>
      <c r="G9" s="131">
        <v>0.35</v>
      </c>
      <c r="H9" s="127">
        <f>F9-G9</f>
        <v>0.27</v>
      </c>
    </row>
    <row r="10" spans="1:10">
      <c r="A10"/>
      <c r="B10" s="127" t="s">
        <v>130</v>
      </c>
      <c r="C10" s="131">
        <v>0.12</v>
      </c>
      <c r="D10" s="131">
        <v>0.22</v>
      </c>
      <c r="E10" s="131">
        <v>0.31</v>
      </c>
      <c r="F10" s="131">
        <v>0.62</v>
      </c>
      <c r="G10" s="131">
        <v>0.33</v>
      </c>
      <c r="H10" s="127">
        <f>F10-G10</f>
        <v>0.28999999999999998</v>
      </c>
    </row>
    <row r="11" spans="1:10">
      <c r="A11"/>
      <c r="B11" s="127" t="s">
        <v>133</v>
      </c>
      <c r="C11" s="131">
        <v>0.12</v>
      </c>
      <c r="D11" s="131">
        <v>0.22</v>
      </c>
      <c r="E11" s="131">
        <v>0.32</v>
      </c>
      <c r="F11" s="131">
        <v>0.62</v>
      </c>
      <c r="G11" s="131">
        <v>0.35</v>
      </c>
      <c r="H11" s="127">
        <f>F11-G11</f>
        <v>0.27</v>
      </c>
    </row>
    <row r="12" spans="1:10">
      <c r="A12"/>
      <c r="B12" s="123" t="s">
        <v>113</v>
      </c>
      <c r="C12" s="123"/>
      <c r="D12" s="123"/>
      <c r="E12" s="123"/>
      <c r="H12" s="123"/>
    </row>
    <row r="13" spans="1:10" ht="19.5" thickBot="1">
      <c r="A13"/>
      <c r="B13" s="129"/>
      <c r="C13" s="128" t="s">
        <v>117</v>
      </c>
      <c r="D13" s="128" t="s">
        <v>25</v>
      </c>
      <c r="E13" s="128" t="s">
        <v>119</v>
      </c>
      <c r="F13" s="129" t="s">
        <v>134</v>
      </c>
      <c r="H13" s="123"/>
    </row>
    <row r="14" spans="1:10" ht="19.5" thickTop="1">
      <c r="A14"/>
      <c r="B14" s="124" t="s">
        <v>114</v>
      </c>
      <c r="C14" s="130">
        <v>19.600000000000001</v>
      </c>
      <c r="D14" s="131">
        <v>19.600000000000001</v>
      </c>
      <c r="E14" s="125">
        <f>D14+F14</f>
        <v>17.600000000000001</v>
      </c>
      <c r="F14" s="131">
        <f>-2</f>
        <v>-2</v>
      </c>
      <c r="H14" s="123"/>
    </row>
    <row r="15" spans="1:10">
      <c r="A15"/>
      <c r="B15" s="121" t="s">
        <v>115</v>
      </c>
      <c r="C15" s="123"/>
      <c r="D15" s="123"/>
      <c r="E15" s="123"/>
    </row>
    <row r="16" spans="1:10" ht="19.5" thickBot="1">
      <c r="A16"/>
      <c r="B16" s="129"/>
      <c r="C16" s="128" t="s">
        <v>117</v>
      </c>
      <c r="D16" s="128" t="s">
        <v>25</v>
      </c>
      <c r="E16" s="128" t="s">
        <v>119</v>
      </c>
    </row>
    <row r="17" spans="1:9" ht="19.5" thickTop="1">
      <c r="A17"/>
      <c r="B17" s="125" t="s">
        <v>116</v>
      </c>
      <c r="C17" s="127">
        <f>'実験1-試験片寸法-計算用'!C9</f>
        <v>207</v>
      </c>
      <c r="D17" s="127">
        <f>'実験1-試験片寸法-計算用'!C15</f>
        <v>206</v>
      </c>
      <c r="E17" s="127">
        <f>'実験1-試験片寸法-計算用'!C12</f>
        <v>206</v>
      </c>
    </row>
    <row r="18" spans="1:9">
      <c r="A18"/>
      <c r="B18" s="121" t="s">
        <v>122</v>
      </c>
      <c r="C18" s="123"/>
      <c r="D18" s="123"/>
      <c r="E18" s="123"/>
    </row>
    <row r="19" spans="1:9" ht="19.5" thickBot="1">
      <c r="A19"/>
      <c r="B19" s="129"/>
      <c r="C19" s="128" t="s">
        <v>117</v>
      </c>
      <c r="D19" s="128" t="s">
        <v>25</v>
      </c>
      <c r="E19" s="128" t="s">
        <v>119</v>
      </c>
      <c r="F19" s="129" t="s">
        <v>134</v>
      </c>
    </row>
    <row r="20" spans="1:9" ht="19.5" thickTop="1">
      <c r="A20"/>
      <c r="B20" s="125" t="s">
        <v>123</v>
      </c>
      <c r="C20" s="127">
        <f>'実験1-試験片寸法-計算用'!K25</f>
        <v>31.88</v>
      </c>
      <c r="D20" s="127">
        <f>'実験1-試験片寸法-計算用'!E32</f>
        <v>32</v>
      </c>
      <c r="E20" s="125">
        <f>D20+F20</f>
        <v>32.200000000000003</v>
      </c>
      <c r="F20" s="131">
        <v>0.2</v>
      </c>
    </row>
    <row r="21" spans="1:9">
      <c r="A21"/>
      <c r="B21" s="126" t="s">
        <v>124</v>
      </c>
      <c r="C21" s="124">
        <f>'実験1-試験片寸法-計算用'!L25</f>
        <v>4.9400000000000004</v>
      </c>
      <c r="D21" s="132">
        <f>'実験1-試験片寸法-計算用'!F32</f>
        <v>5</v>
      </c>
      <c r="E21" s="125">
        <f>D21+F21</f>
        <v>5.0999999999999996</v>
      </c>
      <c r="F21" s="130">
        <v>0.1</v>
      </c>
    </row>
    <row r="22" spans="1:9">
      <c r="A22"/>
      <c r="B22" s="121" t="s">
        <v>120</v>
      </c>
      <c r="C22" s="123"/>
      <c r="D22" s="123"/>
      <c r="E22" s="123"/>
    </row>
    <row r="23" spans="1:9" ht="19.5" thickBot="1">
      <c r="A23"/>
      <c r="B23" s="129"/>
      <c r="C23" s="128" t="s">
        <v>117</v>
      </c>
      <c r="D23" s="128" t="s">
        <v>25</v>
      </c>
      <c r="E23" s="128" t="s">
        <v>127</v>
      </c>
      <c r="F23" s="129" t="s">
        <v>128</v>
      </c>
      <c r="G23" s="129" t="s">
        <v>119</v>
      </c>
      <c r="H23" s="128" t="s">
        <v>127</v>
      </c>
      <c r="I23" s="128" t="s">
        <v>128</v>
      </c>
    </row>
    <row r="24" spans="1:9" ht="19.5" thickTop="1">
      <c r="A24"/>
      <c r="B24" s="125" t="s">
        <v>121</v>
      </c>
      <c r="C24" s="127">
        <f>(C20*C21^2)/6</f>
        <v>129.66446133333335</v>
      </c>
      <c r="D24" s="127">
        <f>(D20*D21^2)/6</f>
        <v>133.33333333333334</v>
      </c>
      <c r="E24" s="127">
        <f>C24-D24</f>
        <v>-3.6688719999999932</v>
      </c>
      <c r="F24" s="133">
        <f>E24/D24</f>
        <v>-2.7516539999999947E-2</v>
      </c>
      <c r="G24" s="127">
        <f>E20*(E21^2)/6</f>
        <v>139.58700000000002</v>
      </c>
      <c r="H24" s="127">
        <f>G24-D24</f>
        <v>6.2536666666666747</v>
      </c>
      <c r="I24" s="133">
        <f>H24/D24</f>
        <v>4.6902500000000055E-2</v>
      </c>
    </row>
    <row r="25" spans="1:9">
      <c r="A25"/>
      <c r="B25" s="121" t="s">
        <v>146</v>
      </c>
    </row>
    <row r="26" spans="1:9" ht="19.5" thickBot="1">
      <c r="A26"/>
      <c r="B26" s="129"/>
      <c r="C26" s="128" t="s">
        <v>117</v>
      </c>
      <c r="D26" s="128" t="s">
        <v>25</v>
      </c>
      <c r="E26" s="128" t="s">
        <v>127</v>
      </c>
      <c r="F26" s="129" t="s">
        <v>128</v>
      </c>
      <c r="G26" s="129" t="s">
        <v>119</v>
      </c>
      <c r="H26" s="128" t="s">
        <v>127</v>
      </c>
      <c r="I26" s="128" t="s">
        <v>128</v>
      </c>
    </row>
    <row r="27" spans="1:9" ht="19.5" thickTop="1">
      <c r="A27"/>
      <c r="B27" s="127" t="s">
        <v>147</v>
      </c>
      <c r="C27" s="127">
        <f>(H10*C14)/F10</f>
        <v>9.1677419354838712</v>
      </c>
      <c r="D27" s="127">
        <f>H9*D14/F9</f>
        <v>8.5354838709677434</v>
      </c>
      <c r="E27" s="127">
        <f>C27-D27</f>
        <v>0.63225806451612776</v>
      </c>
      <c r="F27" s="133">
        <f>E27/D27</f>
        <v>7.4074074074073917E-2</v>
      </c>
      <c r="G27" s="127">
        <f>H11*E14/F11</f>
        <v>7.6645161290322594</v>
      </c>
      <c r="H27" s="127">
        <f>G27-D27</f>
        <v>-0.87096774193548399</v>
      </c>
      <c r="I27" s="133">
        <f>H27/D27</f>
        <v>-0.10204081632653061</v>
      </c>
    </row>
    <row r="28" spans="1:9">
      <c r="A28"/>
      <c r="B28" s="124" t="s">
        <v>148</v>
      </c>
      <c r="C28" s="124">
        <f>G10*C14/F10</f>
        <v>10.43225806451613</v>
      </c>
      <c r="D28" s="124">
        <f>G9*D14/F9</f>
        <v>11.064516129032258</v>
      </c>
      <c r="E28" s="127">
        <f>C28-D28</f>
        <v>-0.63225806451612776</v>
      </c>
      <c r="F28" s="133">
        <f>E28/D28</f>
        <v>-5.714285714285703E-2</v>
      </c>
      <c r="G28" s="127">
        <f>G11*E14/F11</f>
        <v>9.935483870967742</v>
      </c>
      <c r="H28" s="127">
        <f>G28-D28</f>
        <v>-1.129032258064516</v>
      </c>
      <c r="I28" s="133">
        <f>H28/D28</f>
        <v>-0.1020408163265306</v>
      </c>
    </row>
    <row r="29" spans="1:9">
      <c r="A29" s="78" t="s">
        <v>145</v>
      </c>
      <c r="B29" s="206" t="s">
        <v>151</v>
      </c>
      <c r="C29" s="206"/>
      <c r="D29" s="206"/>
      <c r="E29" s="206"/>
      <c r="F29" s="206"/>
    </row>
    <row r="30" spans="1:9">
      <c r="A30"/>
    </row>
    <row r="31" spans="1:9">
      <c r="A31"/>
    </row>
    <row r="32" spans="1:9">
      <c r="A32"/>
    </row>
    <row r="33" spans="1:16">
      <c r="A33"/>
    </row>
    <row r="34" spans="1:16" ht="19.5" thickBot="1">
      <c r="A34" s="205" t="s">
        <v>143</v>
      </c>
      <c r="B34" s="205"/>
      <c r="C34" s="205"/>
      <c r="D34" s="205"/>
      <c r="E34" s="205" t="s">
        <v>142</v>
      </c>
      <c r="F34" s="205"/>
      <c r="G34" s="205"/>
      <c r="H34" s="205"/>
      <c r="I34" s="205" t="s">
        <v>141</v>
      </c>
      <c r="J34" s="205"/>
      <c r="K34" s="205"/>
      <c r="L34" s="205"/>
      <c r="M34" s="205" t="s">
        <v>150</v>
      </c>
      <c r="N34" s="205"/>
      <c r="O34" s="205"/>
      <c r="P34" s="205"/>
    </row>
    <row r="35" spans="1:16" ht="19.5" thickTop="1">
      <c r="A35"/>
    </row>
    <row r="36" spans="1:16">
      <c r="A36"/>
    </row>
    <row r="37" spans="1:16">
      <c r="A37"/>
    </row>
    <row r="38" spans="1:16">
      <c r="A38"/>
    </row>
    <row r="39" spans="1:16">
      <c r="A39"/>
    </row>
    <row r="40" spans="1:16">
      <c r="A40"/>
    </row>
    <row r="41" spans="1:16">
      <c r="A41"/>
    </row>
    <row r="42" spans="1:16">
      <c r="A42"/>
    </row>
    <row r="43" spans="1:16">
      <c r="A43"/>
    </row>
    <row r="44" spans="1:16">
      <c r="A44"/>
    </row>
    <row r="45" spans="1:16">
      <c r="A45"/>
    </row>
    <row r="46" spans="1:16">
      <c r="A46"/>
    </row>
    <row r="47" spans="1:16">
      <c r="A47"/>
    </row>
    <row r="48" spans="1:16">
      <c r="A48"/>
    </row>
    <row r="49" spans="1:12">
      <c r="A49"/>
    </row>
    <row r="50" spans="1:12">
      <c r="A50"/>
    </row>
    <row r="51" spans="1:12">
      <c r="A51"/>
      <c r="B51" s="104"/>
    </row>
    <row r="52" spans="1:12">
      <c r="A52"/>
    </row>
    <row r="53" spans="1:12">
      <c r="A53"/>
    </row>
    <row r="54" spans="1:12">
      <c r="A54"/>
    </row>
    <row r="55" spans="1:12">
      <c r="A55"/>
    </row>
    <row r="56" spans="1:12">
      <c r="A56"/>
    </row>
    <row r="57" spans="1:12" ht="19.5" thickBot="1">
      <c r="A57" s="205" t="s">
        <v>181</v>
      </c>
      <c r="B57" s="205"/>
      <c r="C57" s="205"/>
      <c r="D57" s="205"/>
      <c r="E57" s="205" t="s">
        <v>117</v>
      </c>
      <c r="F57" s="205"/>
      <c r="G57" s="205"/>
      <c r="H57" s="205"/>
      <c r="I57" s="205" t="s">
        <v>183</v>
      </c>
      <c r="J57" s="205"/>
      <c r="K57" s="205"/>
      <c r="L57" s="205"/>
    </row>
    <row r="58" spans="1:12" ht="20.25" thickTop="1" thickBot="1">
      <c r="A58" s="141" t="s">
        <v>180</v>
      </c>
      <c r="B58" s="141" t="s">
        <v>182</v>
      </c>
      <c r="C58" s="141" t="s">
        <v>138</v>
      </c>
      <c r="D58" s="141" t="s">
        <v>140</v>
      </c>
      <c r="E58" s="141" t="s">
        <v>138</v>
      </c>
      <c r="F58" s="141" t="s">
        <v>139</v>
      </c>
      <c r="G58" s="141" t="s">
        <v>138</v>
      </c>
      <c r="H58" s="141" t="s">
        <v>140</v>
      </c>
      <c r="I58" s="141" t="s">
        <v>138</v>
      </c>
      <c r="J58" s="141" t="s">
        <v>139</v>
      </c>
      <c r="K58" s="141" t="s">
        <v>138</v>
      </c>
      <c r="L58" s="141" t="s">
        <v>140</v>
      </c>
    </row>
    <row r="59" spans="1:12">
      <c r="A59" s="212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 s="104">
        <v>0</v>
      </c>
      <c r="J59" s="104">
        <v>0</v>
      </c>
      <c r="K59" s="104">
        <v>0</v>
      </c>
      <c r="L59" s="104">
        <v>0</v>
      </c>
    </row>
    <row r="60" spans="1:12">
      <c r="A60" s="212">
        <v>1E-3</v>
      </c>
      <c r="B60">
        <v>-8.5354838709677434</v>
      </c>
      <c r="C60">
        <v>1E-3</v>
      </c>
      <c r="D60">
        <v>-8.5354838709677441E-3</v>
      </c>
      <c r="E60">
        <v>1E-3</v>
      </c>
      <c r="F60">
        <v>-9.1677419354838712</v>
      </c>
      <c r="G60">
        <v>1E-3</v>
      </c>
      <c r="H60">
        <v>-9.167741935483871E-3</v>
      </c>
      <c r="I60">
        <v>1E-3</v>
      </c>
      <c r="J60">
        <v>-7.6645161290322594</v>
      </c>
      <c r="K60">
        <v>1E-3</v>
      </c>
      <c r="L60">
        <v>-7.6645161290322594E-3</v>
      </c>
    </row>
    <row r="61" spans="1:12">
      <c r="A61" s="212">
        <v>2E-3</v>
      </c>
      <c r="B61">
        <v>-8.5354838709677434</v>
      </c>
      <c r="C61">
        <v>2E-3</v>
      </c>
      <c r="D61">
        <v>-1.7070967741935488E-2</v>
      </c>
      <c r="E61">
        <v>2E-3</v>
      </c>
      <c r="F61">
        <v>-9.1677419354838712</v>
      </c>
      <c r="G61">
        <v>2E-3</v>
      </c>
      <c r="H61">
        <v>-1.8335483870967742E-2</v>
      </c>
      <c r="I61">
        <v>2E-3</v>
      </c>
      <c r="J61">
        <v>-7.6645161290322594</v>
      </c>
      <c r="K61">
        <v>2E-3</v>
      </c>
      <c r="L61">
        <v>-1.5329032258064519E-2</v>
      </c>
    </row>
    <row r="62" spans="1:12">
      <c r="A62" s="212">
        <v>3.0000000000000001E-3</v>
      </c>
      <c r="B62">
        <v>-8.5354838709677434</v>
      </c>
      <c r="C62">
        <v>3.0000000000000001E-3</v>
      </c>
      <c r="D62">
        <v>-2.560645161290323E-2</v>
      </c>
      <c r="E62">
        <v>3.0000000000000001E-3</v>
      </c>
      <c r="F62">
        <v>-9.1677419354838712</v>
      </c>
      <c r="G62">
        <v>3.0000000000000001E-3</v>
      </c>
      <c r="H62">
        <v>-2.7503225806451613E-2</v>
      </c>
      <c r="I62">
        <v>3.0000000000000001E-3</v>
      </c>
      <c r="J62">
        <v>-7.6645161290322594</v>
      </c>
      <c r="K62">
        <v>3.0000000000000001E-3</v>
      </c>
      <c r="L62">
        <v>-2.2993548387096777E-2</v>
      </c>
    </row>
    <row r="63" spans="1:12">
      <c r="A63" s="212">
        <v>4.0000000000000001E-3</v>
      </c>
      <c r="B63">
        <v>-8.5354838709677434</v>
      </c>
      <c r="C63">
        <v>4.0000000000000001E-3</v>
      </c>
      <c r="D63">
        <v>-3.4141935483870976E-2</v>
      </c>
      <c r="E63">
        <v>4.0000000000000001E-3</v>
      </c>
      <c r="F63">
        <v>-9.1677419354838712</v>
      </c>
      <c r="G63">
        <v>4.0000000000000001E-3</v>
      </c>
      <c r="H63">
        <v>-3.6670967741935484E-2</v>
      </c>
      <c r="I63">
        <v>4.0000000000000001E-3</v>
      </c>
      <c r="J63">
        <v>-7.6645161290322594</v>
      </c>
      <c r="K63">
        <v>4.0000000000000001E-3</v>
      </c>
      <c r="L63">
        <v>-3.0658064516129038E-2</v>
      </c>
    </row>
    <row r="64" spans="1:12">
      <c r="A64" s="212">
        <v>5.0000000000000001E-3</v>
      </c>
      <c r="B64">
        <v>-8.5354838709677434</v>
      </c>
      <c r="C64">
        <v>5.0000000000000001E-3</v>
      </c>
      <c r="D64">
        <v>-4.2677419354838715E-2</v>
      </c>
      <c r="E64">
        <v>5.0000000000000001E-3</v>
      </c>
      <c r="F64">
        <v>-9.1677419354838712</v>
      </c>
      <c r="G64">
        <v>5.0000000000000001E-3</v>
      </c>
      <c r="H64">
        <v>-4.5838709677419355E-2</v>
      </c>
      <c r="I64">
        <v>5.0000000000000001E-3</v>
      </c>
      <c r="J64">
        <v>-7.6645161290322594</v>
      </c>
      <c r="K64">
        <v>5.0000000000000001E-3</v>
      </c>
      <c r="L64">
        <v>-3.8322580645161301E-2</v>
      </c>
    </row>
    <row r="65" spans="1:12">
      <c r="A65" s="212">
        <v>6.0000000000000001E-3</v>
      </c>
      <c r="B65">
        <v>-8.5354838709677434</v>
      </c>
      <c r="C65">
        <v>6.0000000000000001E-3</v>
      </c>
      <c r="D65">
        <v>-5.1212903225806461E-2</v>
      </c>
      <c r="E65">
        <v>6.0000000000000001E-3</v>
      </c>
      <c r="F65">
        <v>-9.1677419354838712</v>
      </c>
      <c r="G65">
        <v>6.0000000000000001E-3</v>
      </c>
      <c r="H65">
        <v>-5.5006451612903226E-2</v>
      </c>
      <c r="I65">
        <v>6.0000000000000001E-3</v>
      </c>
      <c r="J65">
        <v>-7.6645161290322594</v>
      </c>
      <c r="K65">
        <v>6.0000000000000001E-3</v>
      </c>
      <c r="L65">
        <v>-4.5987096774193555E-2</v>
      </c>
    </row>
    <row r="66" spans="1:12">
      <c r="A66" s="212">
        <v>7.0000000000000001E-3</v>
      </c>
      <c r="B66">
        <v>-8.5354838709677434</v>
      </c>
      <c r="C66">
        <v>7.0000000000000001E-3</v>
      </c>
      <c r="D66">
        <v>-5.9748387096774207E-2</v>
      </c>
      <c r="E66">
        <v>7.0000000000000001E-3</v>
      </c>
      <c r="F66">
        <v>-9.1677419354838712</v>
      </c>
      <c r="G66">
        <v>7.0000000000000001E-3</v>
      </c>
      <c r="H66">
        <v>-6.4174193548387104E-2</v>
      </c>
      <c r="I66">
        <v>7.0000000000000001E-3</v>
      </c>
      <c r="J66">
        <v>-7.6645161290322594</v>
      </c>
      <c r="K66">
        <v>7.0000000000000001E-3</v>
      </c>
      <c r="L66">
        <v>-5.3651612903225815E-2</v>
      </c>
    </row>
    <row r="67" spans="1:12">
      <c r="A67" s="212">
        <v>8.0000000000000002E-3</v>
      </c>
      <c r="B67">
        <v>-8.5354838709677434</v>
      </c>
      <c r="C67">
        <v>8.0000000000000002E-3</v>
      </c>
      <c r="D67">
        <v>-6.8283870967741953E-2</v>
      </c>
      <c r="E67">
        <v>8.0000000000000002E-3</v>
      </c>
      <c r="F67">
        <v>-9.1677419354838712</v>
      </c>
      <c r="G67">
        <v>8.0000000000000002E-3</v>
      </c>
      <c r="H67">
        <v>-7.3341935483870968E-2</v>
      </c>
      <c r="I67">
        <v>8.0000000000000002E-3</v>
      </c>
      <c r="J67">
        <v>-7.6645161290322594</v>
      </c>
      <c r="K67">
        <v>8.0000000000000002E-3</v>
      </c>
      <c r="L67">
        <v>-6.1316129032258075E-2</v>
      </c>
    </row>
    <row r="68" spans="1:12">
      <c r="A68" s="212">
        <v>9.0000000000000011E-3</v>
      </c>
      <c r="B68">
        <v>-8.5354838709677434</v>
      </c>
      <c r="C68">
        <v>9.0000000000000011E-3</v>
      </c>
      <c r="D68">
        <v>-7.6819354838709705E-2</v>
      </c>
      <c r="E68">
        <v>9.0000000000000011E-3</v>
      </c>
      <c r="F68">
        <v>-9.1677419354838712</v>
      </c>
      <c r="G68">
        <v>9.0000000000000011E-3</v>
      </c>
      <c r="H68">
        <v>-8.2509677419354846E-2</v>
      </c>
      <c r="I68">
        <v>9.0000000000000011E-3</v>
      </c>
      <c r="J68">
        <v>-7.6645161290322594</v>
      </c>
      <c r="K68">
        <v>9.0000000000000011E-3</v>
      </c>
      <c r="L68">
        <v>-6.8980645161290349E-2</v>
      </c>
    </row>
    <row r="69" spans="1:12">
      <c r="A69" s="212">
        <v>1.0000000000000002E-2</v>
      </c>
      <c r="B69">
        <v>-8.5354838709677434</v>
      </c>
      <c r="C69">
        <v>1.0000000000000002E-2</v>
      </c>
      <c r="D69">
        <v>-8.5354838709677444E-2</v>
      </c>
      <c r="E69">
        <v>1.0000000000000002E-2</v>
      </c>
      <c r="F69">
        <v>-9.1677419354838712</v>
      </c>
      <c r="G69">
        <v>1.0000000000000002E-2</v>
      </c>
      <c r="H69">
        <v>-9.1677419354838724E-2</v>
      </c>
      <c r="I69">
        <v>1.0000000000000002E-2</v>
      </c>
      <c r="J69">
        <v>-7.6645161290322594</v>
      </c>
      <c r="K69">
        <v>1.0000000000000002E-2</v>
      </c>
      <c r="L69">
        <v>-7.6645161290322603E-2</v>
      </c>
    </row>
    <row r="70" spans="1:12">
      <c r="A70" s="212">
        <v>2.0000000000000004E-2</v>
      </c>
      <c r="B70">
        <v>-8.5354838709677434</v>
      </c>
      <c r="C70">
        <v>2.0000000000000004E-2</v>
      </c>
      <c r="D70">
        <v>-0.17070967741935489</v>
      </c>
      <c r="E70">
        <v>2.0000000000000004E-2</v>
      </c>
      <c r="F70">
        <v>-9.1677419354838712</v>
      </c>
      <c r="G70">
        <v>2.0000000000000004E-2</v>
      </c>
      <c r="H70">
        <v>-0.18335483870967745</v>
      </c>
      <c r="I70">
        <v>2.0000000000000004E-2</v>
      </c>
      <c r="J70">
        <v>-7.6645161290322594</v>
      </c>
      <c r="K70">
        <v>2.0000000000000004E-2</v>
      </c>
      <c r="L70">
        <v>-0.15329032258064521</v>
      </c>
    </row>
    <row r="71" spans="1:12">
      <c r="A71" s="212">
        <v>3.0000000000000006E-2</v>
      </c>
      <c r="B71">
        <v>-8.5354838709677434</v>
      </c>
      <c r="C71">
        <v>3.0000000000000006E-2</v>
      </c>
      <c r="D71">
        <v>-0.25606451612903236</v>
      </c>
      <c r="E71">
        <v>3.0000000000000006E-2</v>
      </c>
      <c r="F71">
        <v>-9.1677419354838712</v>
      </c>
      <c r="G71">
        <v>3.0000000000000006E-2</v>
      </c>
      <c r="H71">
        <v>-0.2750322580645162</v>
      </c>
      <c r="I71">
        <v>3.0000000000000006E-2</v>
      </c>
      <c r="J71">
        <v>-7.6645161290322594</v>
      </c>
      <c r="K71">
        <v>3.0000000000000006E-2</v>
      </c>
      <c r="L71">
        <v>-0.22993548387096782</v>
      </c>
    </row>
    <row r="72" spans="1:12">
      <c r="A72" s="212">
        <v>4.0000000000000008E-2</v>
      </c>
      <c r="B72">
        <v>-8.5354838709677434</v>
      </c>
      <c r="C72">
        <v>4.0000000000000008E-2</v>
      </c>
      <c r="D72">
        <v>-0.34141935483870978</v>
      </c>
      <c r="E72">
        <v>4.0000000000000008E-2</v>
      </c>
      <c r="F72">
        <v>-9.1677419354838712</v>
      </c>
      <c r="G72">
        <v>4.0000000000000008E-2</v>
      </c>
      <c r="H72">
        <v>-0.3667096774193549</v>
      </c>
      <c r="I72">
        <v>4.0000000000000008E-2</v>
      </c>
      <c r="J72">
        <v>-7.6645161290322594</v>
      </c>
      <c r="K72">
        <v>4.0000000000000008E-2</v>
      </c>
      <c r="L72">
        <v>-0.30658064516129041</v>
      </c>
    </row>
    <row r="73" spans="1:12">
      <c r="A73" s="212">
        <v>5.000000000000001E-2</v>
      </c>
      <c r="B73">
        <v>-8.5354838709677434</v>
      </c>
      <c r="C73">
        <v>5.000000000000001E-2</v>
      </c>
      <c r="D73">
        <v>-0.42677419354838725</v>
      </c>
      <c r="E73">
        <v>5.000000000000001E-2</v>
      </c>
      <c r="F73">
        <v>-9.1677419354838712</v>
      </c>
      <c r="G73">
        <v>5.000000000000001E-2</v>
      </c>
      <c r="H73">
        <v>-0.45838709677419365</v>
      </c>
      <c r="I73">
        <v>5.000000000000001E-2</v>
      </c>
      <c r="J73">
        <v>-7.6645161290322594</v>
      </c>
      <c r="K73">
        <v>5.000000000000001E-2</v>
      </c>
      <c r="L73">
        <v>-0.38322580645161303</v>
      </c>
    </row>
    <row r="74" spans="1:12">
      <c r="A74" s="212">
        <v>6.0000000000000012E-2</v>
      </c>
      <c r="B74">
        <v>-8.5354838709677434</v>
      </c>
      <c r="C74">
        <v>6.0000000000000012E-2</v>
      </c>
      <c r="D74">
        <v>-0.51212903225806472</v>
      </c>
      <c r="E74">
        <v>6.0000000000000012E-2</v>
      </c>
      <c r="F74">
        <v>-9.1677419354838712</v>
      </c>
      <c r="G74">
        <v>6.0000000000000012E-2</v>
      </c>
      <c r="H74">
        <v>-0.5500645161290324</v>
      </c>
      <c r="I74">
        <v>6.0000000000000012E-2</v>
      </c>
      <c r="J74">
        <v>-7.6645161290322594</v>
      </c>
      <c r="K74">
        <v>6.0000000000000012E-2</v>
      </c>
      <c r="L74">
        <v>-0.45987096774193564</v>
      </c>
    </row>
    <row r="75" spans="1:12">
      <c r="A75" s="212">
        <v>7.0000000000000007E-2</v>
      </c>
      <c r="B75">
        <v>-8.5354838709677434</v>
      </c>
      <c r="C75">
        <v>7.0000000000000007E-2</v>
      </c>
      <c r="D75">
        <v>-0.59748387096774214</v>
      </c>
      <c r="E75">
        <v>7.0000000000000007E-2</v>
      </c>
      <c r="F75">
        <v>-9.1677419354838712</v>
      </c>
      <c r="G75">
        <v>7.0000000000000007E-2</v>
      </c>
      <c r="H75">
        <v>-0.64174193548387104</v>
      </c>
      <c r="I75">
        <v>7.0000000000000007E-2</v>
      </c>
      <c r="J75">
        <v>-7.6645161290322594</v>
      </c>
      <c r="K75">
        <v>7.0000000000000007E-2</v>
      </c>
      <c r="L75">
        <v>-0.5365161290322582</v>
      </c>
    </row>
    <row r="76" spans="1:12">
      <c r="A76" s="212">
        <v>0.08</v>
      </c>
      <c r="B76">
        <v>-8.5354838709677434</v>
      </c>
      <c r="C76">
        <v>0.08</v>
      </c>
      <c r="D76">
        <v>-0.68283870967741944</v>
      </c>
      <c r="E76">
        <v>0.08</v>
      </c>
      <c r="F76">
        <v>-9.1677419354838712</v>
      </c>
      <c r="G76">
        <v>0.08</v>
      </c>
      <c r="H76">
        <v>-0.73341935483870968</v>
      </c>
      <c r="I76">
        <v>0.08</v>
      </c>
      <c r="J76">
        <v>-7.6645161290322594</v>
      </c>
      <c r="K76">
        <v>0.08</v>
      </c>
      <c r="L76">
        <v>-0.61316129032258082</v>
      </c>
    </row>
    <row r="77" spans="1:12">
      <c r="A77" s="212">
        <v>0.09</v>
      </c>
      <c r="B77">
        <v>-8.5354838709677434</v>
      </c>
      <c r="C77">
        <v>0.09</v>
      </c>
      <c r="D77">
        <v>-0.76819354838709686</v>
      </c>
      <c r="E77">
        <v>0.09</v>
      </c>
      <c r="F77">
        <v>-9.1677419354838712</v>
      </c>
      <c r="G77">
        <v>0.09</v>
      </c>
      <c r="H77">
        <v>-0.82509677419354832</v>
      </c>
      <c r="I77">
        <v>0.09</v>
      </c>
      <c r="J77">
        <v>-7.6645161290322594</v>
      </c>
      <c r="K77">
        <v>0.09</v>
      </c>
      <c r="L77">
        <v>-0.68980645161290333</v>
      </c>
    </row>
    <row r="78" spans="1:12">
      <c r="A78" s="212">
        <v>9.9999999999999992E-2</v>
      </c>
      <c r="B78">
        <v>-8.5354838709677434</v>
      </c>
      <c r="C78">
        <v>9.9999999999999992E-2</v>
      </c>
      <c r="D78">
        <v>-0.85354838709677427</v>
      </c>
      <c r="E78">
        <v>9.9999999999999992E-2</v>
      </c>
      <c r="F78">
        <v>-9.1677419354838712</v>
      </c>
      <c r="G78">
        <v>9.9999999999999992E-2</v>
      </c>
      <c r="H78">
        <v>-0.91677419354838707</v>
      </c>
      <c r="I78">
        <v>9.9999999999999992E-2</v>
      </c>
      <c r="J78">
        <v>-7.6645161290322594</v>
      </c>
      <c r="K78">
        <v>9.9999999999999992E-2</v>
      </c>
      <c r="L78">
        <v>-0.76645161290322583</v>
      </c>
    </row>
    <row r="79" spans="1:12">
      <c r="A79" s="212">
        <v>0.10999999999999999</v>
      </c>
      <c r="B79">
        <v>-8.5354838709677434</v>
      </c>
      <c r="C79">
        <v>0.10999999999999999</v>
      </c>
      <c r="D79">
        <v>-0.93890322580645169</v>
      </c>
      <c r="E79">
        <v>0.10999999999999999</v>
      </c>
      <c r="F79">
        <v>-9.1677419354838712</v>
      </c>
      <c r="G79">
        <v>0.10999999999999999</v>
      </c>
      <c r="H79">
        <v>-1.0084516129032257</v>
      </c>
      <c r="I79">
        <v>0.10999999999999999</v>
      </c>
      <c r="J79">
        <v>-7.6645161290322594</v>
      </c>
      <c r="K79">
        <v>0.10999999999999999</v>
      </c>
      <c r="L79">
        <v>-0.84309677419354845</v>
      </c>
    </row>
    <row r="80" spans="1:12">
      <c r="A80" s="212">
        <v>0.11099999999999999</v>
      </c>
      <c r="B80">
        <v>-8.5354838709677434</v>
      </c>
      <c r="C80">
        <v>0.11099999999999999</v>
      </c>
      <c r="D80">
        <v>-0.94743870967741939</v>
      </c>
      <c r="E80">
        <v>0.11099999999999999</v>
      </c>
      <c r="F80">
        <v>-9.1677419354838712</v>
      </c>
      <c r="G80">
        <v>0.11099999999999999</v>
      </c>
      <c r="H80">
        <v>-1.0176193548387096</v>
      </c>
      <c r="I80">
        <v>0.11099999999999999</v>
      </c>
      <c r="J80">
        <v>-7.6645161290322594</v>
      </c>
      <c r="K80">
        <v>0.11099999999999999</v>
      </c>
      <c r="L80">
        <v>-0.85076129032258074</v>
      </c>
    </row>
    <row r="81" spans="1:12">
      <c r="A81" s="212">
        <v>0.11199999999999999</v>
      </c>
      <c r="B81">
        <v>-8.5354838709677434</v>
      </c>
      <c r="C81">
        <v>0.11199999999999999</v>
      </c>
      <c r="D81">
        <v>-0.9559741935483872</v>
      </c>
      <c r="E81">
        <v>0.11199999999999999</v>
      </c>
      <c r="F81">
        <v>-9.1677419354838712</v>
      </c>
      <c r="G81">
        <v>0.11199999999999999</v>
      </c>
      <c r="H81">
        <v>-1.0267870967741934</v>
      </c>
      <c r="I81">
        <v>0.11199999999999999</v>
      </c>
      <c r="J81">
        <v>-7.6645161290322594</v>
      </c>
      <c r="K81">
        <v>0.11199999999999999</v>
      </c>
      <c r="L81">
        <v>-0.85842580645161293</v>
      </c>
    </row>
    <row r="82" spans="1:12">
      <c r="A82" s="212">
        <v>0.11299999999999999</v>
      </c>
      <c r="B82">
        <v>-8.5354838709677434</v>
      </c>
      <c r="C82">
        <v>0.11299999999999999</v>
      </c>
      <c r="D82">
        <v>-0.96450967741935489</v>
      </c>
      <c r="E82">
        <v>0.11299999999999999</v>
      </c>
      <c r="F82">
        <v>-9.1677419354838712</v>
      </c>
      <c r="G82">
        <v>0.11299999999999999</v>
      </c>
      <c r="H82">
        <v>-1.0359548387096773</v>
      </c>
      <c r="I82">
        <v>0.11299999999999999</v>
      </c>
      <c r="J82">
        <v>-7.6645161290322594</v>
      </c>
      <c r="K82">
        <v>0.11299999999999999</v>
      </c>
      <c r="L82">
        <v>-0.86609032258064522</v>
      </c>
    </row>
    <row r="83" spans="1:12">
      <c r="A83" s="212">
        <v>0.11399999999999999</v>
      </c>
      <c r="B83">
        <v>-8.5354838709677434</v>
      </c>
      <c r="C83">
        <v>0.11399999999999999</v>
      </c>
      <c r="D83">
        <v>-0.9730451612903227</v>
      </c>
      <c r="E83">
        <v>0.11399999999999999</v>
      </c>
      <c r="F83">
        <v>-9.1677419354838712</v>
      </c>
      <c r="G83">
        <v>0.11399999999999999</v>
      </c>
      <c r="H83">
        <v>-1.0451225806451612</v>
      </c>
      <c r="I83">
        <v>0.11399999999999999</v>
      </c>
      <c r="J83">
        <v>-7.6645161290322594</v>
      </c>
      <c r="K83">
        <v>0.11399999999999999</v>
      </c>
      <c r="L83">
        <v>-0.87375483870967752</v>
      </c>
    </row>
    <row r="84" spans="1:12">
      <c r="A84" s="212">
        <v>0.11499999999999999</v>
      </c>
      <c r="B84">
        <v>-8.5354838709677434</v>
      </c>
      <c r="C84">
        <v>0.11499999999999999</v>
      </c>
      <c r="D84">
        <v>-0.9815806451612904</v>
      </c>
      <c r="E84">
        <v>0.11499999999999999</v>
      </c>
      <c r="F84">
        <v>-9.1677419354838712</v>
      </c>
      <c r="G84">
        <v>0.11499999999999999</v>
      </c>
      <c r="H84">
        <v>-1.054290322580645</v>
      </c>
      <c r="I84">
        <v>0.11499999999999999</v>
      </c>
      <c r="J84">
        <v>-7.6645161290322594</v>
      </c>
      <c r="K84">
        <v>0.11499999999999999</v>
      </c>
      <c r="L84">
        <v>-0.88141935483870981</v>
      </c>
    </row>
    <row r="85" spans="1:12">
      <c r="A85" s="212">
        <v>0.11599999999999999</v>
      </c>
      <c r="B85">
        <v>-8.5354838709677434</v>
      </c>
      <c r="C85">
        <v>0.11599999999999999</v>
      </c>
      <c r="D85">
        <v>-0.99011612903225821</v>
      </c>
      <c r="E85">
        <v>0.11599999999999999</v>
      </c>
      <c r="F85">
        <v>-9.1677419354838712</v>
      </c>
      <c r="G85">
        <v>0.11599999999999999</v>
      </c>
      <c r="H85">
        <v>-1.0634580645161289</v>
      </c>
      <c r="I85">
        <v>0.11599999999999999</v>
      </c>
      <c r="J85">
        <v>-7.6645161290322594</v>
      </c>
      <c r="K85">
        <v>0.11599999999999999</v>
      </c>
      <c r="L85">
        <v>-0.889083870967742</v>
      </c>
    </row>
    <row r="86" spans="1:12">
      <c r="A86" s="212">
        <v>0.11699999999999999</v>
      </c>
      <c r="B86">
        <v>-8.5354838709677434</v>
      </c>
      <c r="C86">
        <v>0.11699999999999999</v>
      </c>
      <c r="D86">
        <v>-0.9986516129032259</v>
      </c>
      <c r="E86">
        <v>0.11699999999999999</v>
      </c>
      <c r="F86">
        <v>-9.1677419354838712</v>
      </c>
      <c r="G86">
        <v>0.11699999999999999</v>
      </c>
      <c r="H86">
        <v>-1.0726258064516128</v>
      </c>
      <c r="I86">
        <v>0.11699999999999999</v>
      </c>
      <c r="J86">
        <v>-7.6645161290322594</v>
      </c>
      <c r="K86">
        <v>0.11699999999999999</v>
      </c>
      <c r="L86">
        <v>-0.89674838709677429</v>
      </c>
    </row>
    <row r="87" spans="1:12">
      <c r="A87" s="212">
        <v>0.11799999999999999</v>
      </c>
      <c r="B87">
        <v>-8.5354838709677434</v>
      </c>
      <c r="C87">
        <v>0.11799999999999999</v>
      </c>
      <c r="D87">
        <v>-1.0071870967741936</v>
      </c>
      <c r="E87">
        <v>0.11799999999999999</v>
      </c>
      <c r="F87">
        <v>-9.1677419354838712</v>
      </c>
      <c r="G87">
        <v>0.11799999999999999</v>
      </c>
      <c r="H87">
        <v>-1.0817935483870968</v>
      </c>
      <c r="I87">
        <v>0.11799999999999999</v>
      </c>
      <c r="J87">
        <v>-7.6645161290322594</v>
      </c>
      <c r="K87">
        <v>0.11799999999999999</v>
      </c>
      <c r="L87">
        <v>-0.90441290322580659</v>
      </c>
    </row>
    <row r="88" spans="1:12">
      <c r="A88" s="212">
        <v>0.11899999999999999</v>
      </c>
      <c r="B88">
        <v>-8.5354838709677434</v>
      </c>
      <c r="C88">
        <v>0.11899999999999999</v>
      </c>
      <c r="D88">
        <v>-1.0157225806451615</v>
      </c>
      <c r="E88">
        <v>0.11899999999999999</v>
      </c>
      <c r="F88">
        <v>-9.1677419354838712</v>
      </c>
      <c r="G88">
        <v>0.11899999999999999</v>
      </c>
      <c r="H88">
        <v>-1.0909612903225807</v>
      </c>
      <c r="I88">
        <v>0.11899999999999999</v>
      </c>
      <c r="J88">
        <v>-7.6645161290322594</v>
      </c>
      <c r="K88">
        <v>0.11899999999999999</v>
      </c>
      <c r="L88">
        <v>-0.91207741935483888</v>
      </c>
    </row>
    <row r="89" spans="1:12">
      <c r="A89" s="212">
        <v>0.12</v>
      </c>
      <c r="B89">
        <v>-8.5354838709677434</v>
      </c>
      <c r="C89">
        <v>0.12</v>
      </c>
      <c r="D89">
        <v>-1.0242580645161292</v>
      </c>
      <c r="E89">
        <v>0.12</v>
      </c>
      <c r="F89">
        <v>-9.1677419354838712</v>
      </c>
      <c r="G89">
        <v>0.12</v>
      </c>
      <c r="H89">
        <v>-1.1001290322580646</v>
      </c>
      <c r="I89">
        <v>0.12</v>
      </c>
      <c r="J89">
        <v>-7.6645161290322594</v>
      </c>
      <c r="K89">
        <v>0.12</v>
      </c>
      <c r="L89">
        <v>-0.91974193548387106</v>
      </c>
    </row>
    <row r="90" spans="1:12">
      <c r="A90" s="212">
        <v>0.121</v>
      </c>
      <c r="B90">
        <v>-8.5354838709677434</v>
      </c>
      <c r="C90">
        <v>0.121</v>
      </c>
      <c r="D90">
        <v>-1.0327935483870969</v>
      </c>
      <c r="E90">
        <v>0.121</v>
      </c>
      <c r="F90">
        <v>-9.1677419354838712</v>
      </c>
      <c r="G90">
        <v>0.121</v>
      </c>
      <c r="H90">
        <v>-1.1092967741935484</v>
      </c>
      <c r="I90">
        <v>0.121</v>
      </c>
      <c r="J90">
        <v>-7.6645161290322594</v>
      </c>
      <c r="K90">
        <v>0.121</v>
      </c>
      <c r="L90">
        <v>-0.92740645161290336</v>
      </c>
    </row>
    <row r="91" spans="1:12">
      <c r="A91" s="212">
        <v>0.122</v>
      </c>
      <c r="B91">
        <v>-8.5354838709677434</v>
      </c>
      <c r="C91">
        <v>0.122</v>
      </c>
      <c r="D91">
        <v>-1.0413290322580646</v>
      </c>
      <c r="E91">
        <v>0.122</v>
      </c>
      <c r="F91">
        <v>-9.1677419354838712</v>
      </c>
      <c r="G91">
        <v>0.122</v>
      </c>
      <c r="H91">
        <v>-1.1184645161290323</v>
      </c>
      <c r="I91">
        <v>0.122</v>
      </c>
      <c r="J91">
        <v>-7.6645161290322594</v>
      </c>
      <c r="K91">
        <v>0.122</v>
      </c>
      <c r="L91">
        <v>-0.93507096774193565</v>
      </c>
    </row>
    <row r="92" spans="1:12">
      <c r="A92" s="212">
        <v>0.123</v>
      </c>
      <c r="B92">
        <v>-8.5354838709677434</v>
      </c>
      <c r="C92">
        <v>0.123</v>
      </c>
      <c r="D92">
        <v>-1.0498645161290325</v>
      </c>
      <c r="E92">
        <v>0.123</v>
      </c>
      <c r="F92">
        <v>-9.1677419354838712</v>
      </c>
      <c r="G92">
        <v>0.123</v>
      </c>
      <c r="H92">
        <v>-1.1276322580645162</v>
      </c>
      <c r="I92">
        <v>0.123</v>
      </c>
      <c r="J92">
        <v>-7.6645161290322594</v>
      </c>
      <c r="K92">
        <v>0.123</v>
      </c>
      <c r="L92">
        <v>-0.94273548387096795</v>
      </c>
    </row>
    <row r="93" spans="1:12">
      <c r="A93" s="212">
        <v>0.124</v>
      </c>
      <c r="B93">
        <v>-8.5354838709677434</v>
      </c>
      <c r="C93">
        <v>0.124</v>
      </c>
      <c r="D93">
        <v>-1.0584000000000002</v>
      </c>
      <c r="E93">
        <v>0.124</v>
      </c>
      <c r="F93">
        <v>-9.1677419354838712</v>
      </c>
      <c r="G93">
        <v>0.124</v>
      </c>
      <c r="H93">
        <v>-1.1368</v>
      </c>
      <c r="I93">
        <v>0.124</v>
      </c>
      <c r="J93">
        <v>-7.6645161290322594</v>
      </c>
      <c r="K93">
        <v>0.124</v>
      </c>
      <c r="L93">
        <v>-0.95040000000000013</v>
      </c>
    </row>
    <row r="94" spans="1:12">
      <c r="A94" s="212">
        <v>0.125</v>
      </c>
      <c r="B94">
        <v>-8.5354838709677434</v>
      </c>
      <c r="C94">
        <v>0.125</v>
      </c>
      <c r="D94">
        <v>-1.0669354838709679</v>
      </c>
      <c r="E94">
        <v>0.125</v>
      </c>
      <c r="F94">
        <v>-9.1677419354838712</v>
      </c>
      <c r="G94">
        <v>0.125</v>
      </c>
      <c r="H94">
        <v>-1.1459677419354839</v>
      </c>
      <c r="I94">
        <v>0.125</v>
      </c>
      <c r="J94">
        <v>-7.6645161290322594</v>
      </c>
      <c r="K94">
        <v>0.125</v>
      </c>
      <c r="L94">
        <v>-0.95806451612903243</v>
      </c>
    </row>
    <row r="95" spans="1:12">
      <c r="A95" s="212">
        <v>0.126</v>
      </c>
      <c r="B95">
        <v>-8.5354838709677434</v>
      </c>
      <c r="C95">
        <v>0.126</v>
      </c>
      <c r="D95">
        <v>-1.0754709677419356</v>
      </c>
      <c r="E95">
        <v>0.126</v>
      </c>
      <c r="F95">
        <v>-9.1677419354838712</v>
      </c>
      <c r="G95">
        <v>0.126</v>
      </c>
      <c r="H95">
        <v>-1.1551354838709678</v>
      </c>
      <c r="I95">
        <v>0.126</v>
      </c>
      <c r="J95">
        <v>-7.6645161290322594</v>
      </c>
      <c r="K95">
        <v>0.126</v>
      </c>
      <c r="L95">
        <v>-0.96572903225806472</v>
      </c>
    </row>
    <row r="96" spans="1:12">
      <c r="A96" s="212">
        <v>0.127</v>
      </c>
      <c r="B96">
        <v>-8.5354838709677434</v>
      </c>
      <c r="C96">
        <v>0.127</v>
      </c>
      <c r="D96">
        <v>-1.0840064516129033</v>
      </c>
      <c r="E96">
        <v>0.127</v>
      </c>
      <c r="F96">
        <v>-9.1677419354838712</v>
      </c>
      <c r="G96">
        <v>0.127</v>
      </c>
      <c r="H96">
        <v>-1.1643032258064516</v>
      </c>
      <c r="I96">
        <v>0.127</v>
      </c>
      <c r="J96">
        <v>-7.6645161290322594</v>
      </c>
      <c r="K96">
        <v>0.127</v>
      </c>
      <c r="L96">
        <v>-0.97339354838709691</v>
      </c>
    </row>
    <row r="97" spans="1:12">
      <c r="A97" s="212">
        <v>0.128</v>
      </c>
      <c r="B97">
        <v>-8.5354838709677434</v>
      </c>
      <c r="C97">
        <v>0.128</v>
      </c>
      <c r="D97">
        <v>-1.0925419354838712</v>
      </c>
      <c r="E97">
        <v>0.128</v>
      </c>
      <c r="F97">
        <v>-9.1677419354838712</v>
      </c>
      <c r="G97">
        <v>0.128</v>
      </c>
      <c r="H97">
        <v>-1.1734709677419355</v>
      </c>
      <c r="I97">
        <v>0.128</v>
      </c>
      <c r="J97">
        <v>-7.6645161290322594</v>
      </c>
      <c r="K97">
        <v>0.128</v>
      </c>
      <c r="L97">
        <v>-0.9810580645161292</v>
      </c>
    </row>
    <row r="98" spans="1:12">
      <c r="A98" s="212">
        <v>0.129</v>
      </c>
      <c r="B98">
        <v>-8.5354838709677434</v>
      </c>
      <c r="C98">
        <v>0.129</v>
      </c>
      <c r="D98">
        <v>-1.1010774193548389</v>
      </c>
      <c r="E98">
        <v>0.129</v>
      </c>
      <c r="F98">
        <v>-9.1677419354838712</v>
      </c>
      <c r="G98">
        <v>0.129</v>
      </c>
      <c r="H98">
        <v>-1.1826387096774194</v>
      </c>
      <c r="I98">
        <v>0.129</v>
      </c>
      <c r="J98">
        <v>-7.6645161290322594</v>
      </c>
      <c r="K98">
        <v>0.129</v>
      </c>
      <c r="L98">
        <v>-0.9887225806451615</v>
      </c>
    </row>
    <row r="99" spans="1:12">
      <c r="A99" s="212">
        <v>0.13</v>
      </c>
      <c r="B99">
        <v>-8.5354838709677434</v>
      </c>
      <c r="C99">
        <v>0.13</v>
      </c>
      <c r="D99">
        <v>-1.1096129032258066</v>
      </c>
      <c r="E99">
        <v>0.13</v>
      </c>
      <c r="F99">
        <v>-9.1677419354838712</v>
      </c>
      <c r="G99">
        <v>0.13</v>
      </c>
      <c r="H99">
        <v>-1.1918064516129032</v>
      </c>
      <c r="I99">
        <v>0.13</v>
      </c>
      <c r="J99">
        <v>-7.6645161290322594</v>
      </c>
      <c r="K99">
        <v>0.13</v>
      </c>
      <c r="L99">
        <v>-0.99638709677419379</v>
      </c>
    </row>
    <row r="100" spans="1:12">
      <c r="A100" s="212">
        <v>0.14000000000000001</v>
      </c>
      <c r="B100">
        <v>-8.5354838709677434</v>
      </c>
      <c r="C100">
        <v>0.14000000000000001</v>
      </c>
      <c r="D100">
        <v>-1.1949677419354843</v>
      </c>
      <c r="E100">
        <v>0.14000000000000001</v>
      </c>
      <c r="F100">
        <v>-9.1677419354838712</v>
      </c>
      <c r="G100">
        <v>0.14000000000000001</v>
      </c>
      <c r="H100">
        <v>-1.2834838709677421</v>
      </c>
      <c r="I100">
        <v>0.14000000000000001</v>
      </c>
      <c r="J100">
        <v>-7.6645161290322594</v>
      </c>
      <c r="K100">
        <v>0.14000000000000001</v>
      </c>
      <c r="L100">
        <v>-1.0730322580645164</v>
      </c>
    </row>
    <row r="101" spans="1:12">
      <c r="A101" s="212">
        <v>0.15000000000000002</v>
      </c>
      <c r="B101">
        <v>-8.5354838709677434</v>
      </c>
      <c r="C101">
        <v>0.15000000000000002</v>
      </c>
      <c r="D101">
        <v>-1.2803225806451617</v>
      </c>
      <c r="E101">
        <v>0.15000000000000002</v>
      </c>
      <c r="F101">
        <v>-9.1677419354838712</v>
      </c>
      <c r="G101">
        <v>0.15000000000000002</v>
      </c>
      <c r="H101">
        <v>-1.3751612903225809</v>
      </c>
      <c r="I101">
        <v>0.15000000000000002</v>
      </c>
      <c r="J101">
        <v>-7.6645161290322594</v>
      </c>
      <c r="K101">
        <v>0.15000000000000002</v>
      </c>
      <c r="L101">
        <v>-1.1496774193548391</v>
      </c>
    </row>
    <row r="102" spans="1:12">
      <c r="A102" s="212">
        <v>0.16000000000000003</v>
      </c>
      <c r="B102">
        <v>-8.5354838709677434</v>
      </c>
      <c r="C102">
        <v>0.16000000000000003</v>
      </c>
      <c r="D102">
        <v>-1.3656774193548391</v>
      </c>
      <c r="E102">
        <v>0.16000000000000003</v>
      </c>
      <c r="F102">
        <v>-9.1677419354838712</v>
      </c>
      <c r="G102">
        <v>0.16000000000000003</v>
      </c>
      <c r="H102">
        <v>-1.4668387096774196</v>
      </c>
      <c r="I102">
        <v>0.16000000000000003</v>
      </c>
      <c r="J102">
        <v>-7.6645161290322594</v>
      </c>
      <c r="K102">
        <v>0.16000000000000003</v>
      </c>
      <c r="L102">
        <v>-1.2263225806451616</v>
      </c>
    </row>
    <row r="103" spans="1:12">
      <c r="A103" s="212">
        <v>0.17000000000000004</v>
      </c>
      <c r="B103">
        <v>-8.5354838709677434</v>
      </c>
      <c r="C103">
        <v>0.17000000000000004</v>
      </c>
      <c r="D103">
        <v>-1.4510322580645167</v>
      </c>
      <c r="E103">
        <v>0.17000000000000004</v>
      </c>
      <c r="F103">
        <v>-9.1677419354838712</v>
      </c>
      <c r="G103">
        <v>0.17000000000000004</v>
      </c>
      <c r="H103">
        <v>-1.5585161290322584</v>
      </c>
      <c r="I103">
        <v>0.17000000000000004</v>
      </c>
      <c r="J103">
        <v>-7.6645161290322594</v>
      </c>
      <c r="K103">
        <v>0.17000000000000004</v>
      </c>
      <c r="L103">
        <v>-1.3029677419354844</v>
      </c>
    </row>
    <row r="104" spans="1:12">
      <c r="A104" s="212">
        <v>0.18000000000000005</v>
      </c>
      <c r="B104">
        <v>-8.5354838709677434</v>
      </c>
      <c r="C104">
        <v>0.18000000000000005</v>
      </c>
      <c r="D104">
        <v>-1.5363870967741942</v>
      </c>
      <c r="E104">
        <v>0.18000000000000005</v>
      </c>
      <c r="F104">
        <v>-9.1677419354838712</v>
      </c>
      <c r="G104">
        <v>0.18000000000000005</v>
      </c>
      <c r="H104">
        <v>-1.6501935483870973</v>
      </c>
      <c r="I104">
        <v>0.18000000000000005</v>
      </c>
      <c r="J104">
        <v>-7.6645161290322594</v>
      </c>
      <c r="K104">
        <v>0.18000000000000005</v>
      </c>
      <c r="L104">
        <v>-1.3796129032258071</v>
      </c>
    </row>
    <row r="105" spans="1:12">
      <c r="A105" s="212">
        <v>0.19000000000000006</v>
      </c>
      <c r="B105">
        <v>-8.5354838709677434</v>
      </c>
      <c r="C105">
        <v>0.19000000000000006</v>
      </c>
      <c r="D105">
        <v>-1.6217419354838718</v>
      </c>
      <c r="E105">
        <v>0.19000000000000006</v>
      </c>
      <c r="F105">
        <v>-9.1677419354838712</v>
      </c>
      <c r="G105">
        <v>0.19000000000000006</v>
      </c>
      <c r="H105">
        <v>-1.7418709677419359</v>
      </c>
      <c r="I105">
        <v>0.19000000000000006</v>
      </c>
      <c r="J105">
        <v>-7.6645161290322594</v>
      </c>
      <c r="K105">
        <v>0.19000000000000006</v>
      </c>
      <c r="L105">
        <v>-1.4562580645161298</v>
      </c>
    </row>
    <row r="106" spans="1:12">
      <c r="A106" s="212">
        <v>0.20000000000000007</v>
      </c>
      <c r="B106">
        <v>-8.5354838709677434</v>
      </c>
      <c r="C106">
        <v>0.20000000000000007</v>
      </c>
      <c r="D106">
        <v>-1.7070967741935492</v>
      </c>
      <c r="E106">
        <v>0.20000000000000007</v>
      </c>
      <c r="F106">
        <v>-9.1677419354838712</v>
      </c>
      <c r="G106">
        <v>0.20000000000000007</v>
      </c>
      <c r="H106">
        <v>-1.8335483870967748</v>
      </c>
      <c r="I106">
        <v>0.20000000000000007</v>
      </c>
      <c r="J106">
        <v>-7.6645161290322594</v>
      </c>
      <c r="K106">
        <v>0.20000000000000007</v>
      </c>
      <c r="L106">
        <v>-1.5329032258064523</v>
      </c>
    </row>
    <row r="107" spans="1:12">
      <c r="A107" s="212">
        <v>0.21000000000000008</v>
      </c>
      <c r="B107">
        <v>-8.5354838709677434</v>
      </c>
      <c r="C107">
        <v>0.21000000000000008</v>
      </c>
      <c r="D107">
        <v>-1.7924516129032269</v>
      </c>
      <c r="E107">
        <v>0.21000000000000008</v>
      </c>
      <c r="F107">
        <v>-9.1677419354838712</v>
      </c>
      <c r="G107">
        <v>0.21000000000000008</v>
      </c>
      <c r="H107">
        <v>-1.9252258064516137</v>
      </c>
      <c r="I107">
        <v>0.21000000000000008</v>
      </c>
      <c r="J107">
        <v>-7.6645161290322594</v>
      </c>
      <c r="K107">
        <v>0.21000000000000008</v>
      </c>
      <c r="L107">
        <v>-1.6095483870967751</v>
      </c>
    </row>
    <row r="108" spans="1:12">
      <c r="A108" s="212">
        <v>0.21100000000000008</v>
      </c>
      <c r="B108">
        <v>-8.5354838709677434</v>
      </c>
      <c r="C108">
        <v>0.21100000000000008</v>
      </c>
      <c r="D108">
        <v>-1.8009870967741946</v>
      </c>
      <c r="E108">
        <v>0.21100000000000008</v>
      </c>
      <c r="F108">
        <v>-9.1677419354838712</v>
      </c>
      <c r="G108">
        <v>0.21100000000000008</v>
      </c>
      <c r="H108">
        <v>-1.9343935483870975</v>
      </c>
      <c r="I108">
        <v>0.21100000000000008</v>
      </c>
      <c r="J108">
        <v>-7.6645161290322594</v>
      </c>
      <c r="K108">
        <v>0.21100000000000008</v>
      </c>
      <c r="L108">
        <v>-1.6172129032258074</v>
      </c>
    </row>
    <row r="109" spans="1:12">
      <c r="A109" s="212">
        <v>0.21200000000000008</v>
      </c>
      <c r="B109">
        <v>-8.5354838709677434</v>
      </c>
      <c r="C109">
        <v>0.21200000000000008</v>
      </c>
      <c r="D109">
        <v>-1.8095225806451622</v>
      </c>
      <c r="E109">
        <v>0.21200000000000008</v>
      </c>
      <c r="F109">
        <v>-9.1677419354838712</v>
      </c>
      <c r="G109">
        <v>0.21200000000000008</v>
      </c>
      <c r="H109">
        <v>-1.9435612903225814</v>
      </c>
      <c r="I109">
        <v>0.21200000000000008</v>
      </c>
      <c r="J109">
        <v>-7.6645161290322594</v>
      </c>
      <c r="K109">
        <v>0.21200000000000008</v>
      </c>
      <c r="L109">
        <v>-1.6248774193548396</v>
      </c>
    </row>
    <row r="110" spans="1:12">
      <c r="A110" s="212">
        <v>0.21300000000000008</v>
      </c>
      <c r="B110">
        <v>-8.5354838709677434</v>
      </c>
      <c r="C110">
        <v>0.21300000000000008</v>
      </c>
      <c r="D110">
        <v>-1.8180580645161299</v>
      </c>
      <c r="E110">
        <v>0.21300000000000008</v>
      </c>
      <c r="F110">
        <v>-9.1677419354838712</v>
      </c>
      <c r="G110">
        <v>0.21300000000000008</v>
      </c>
      <c r="H110">
        <v>-1.9527290322580653</v>
      </c>
      <c r="I110">
        <v>0.21300000000000008</v>
      </c>
      <c r="J110">
        <v>-7.6645161290322594</v>
      </c>
      <c r="K110">
        <v>0.21300000000000008</v>
      </c>
      <c r="L110">
        <v>-1.6325419354838719</v>
      </c>
    </row>
    <row r="111" spans="1:12">
      <c r="A111" s="212">
        <v>0.21400000000000008</v>
      </c>
      <c r="B111">
        <v>-8.5354838709677434</v>
      </c>
      <c r="C111">
        <v>0.21400000000000008</v>
      </c>
      <c r="D111">
        <v>-1.8265935483870979</v>
      </c>
      <c r="E111">
        <v>0.21400000000000008</v>
      </c>
      <c r="F111">
        <v>-9.1677419354838712</v>
      </c>
      <c r="G111">
        <v>0.21400000000000008</v>
      </c>
      <c r="H111">
        <v>-1.9618967741935491</v>
      </c>
      <c r="I111">
        <v>0.21400000000000008</v>
      </c>
      <c r="J111">
        <v>-7.6645161290322594</v>
      </c>
      <c r="K111">
        <v>0.21400000000000008</v>
      </c>
      <c r="L111">
        <v>-1.640206451612904</v>
      </c>
    </row>
    <row r="112" spans="1:12">
      <c r="A112" s="212">
        <v>0.21500000000000008</v>
      </c>
      <c r="B112">
        <v>-8.5354838709677434</v>
      </c>
      <c r="C112">
        <v>0.21500000000000008</v>
      </c>
      <c r="D112">
        <v>-1.8351290322580656</v>
      </c>
      <c r="E112">
        <v>0.21500000000000008</v>
      </c>
      <c r="F112">
        <v>-9.1677419354838712</v>
      </c>
      <c r="G112">
        <v>0.21500000000000008</v>
      </c>
      <c r="H112">
        <v>-1.971064516129033</v>
      </c>
      <c r="I112">
        <v>0.21500000000000008</v>
      </c>
      <c r="J112">
        <v>-7.6645161290322594</v>
      </c>
      <c r="K112">
        <v>0.21500000000000008</v>
      </c>
      <c r="L112">
        <v>-1.6478709677419363</v>
      </c>
    </row>
    <row r="113" spans="1:12">
      <c r="A113" s="212">
        <v>0.21600000000000008</v>
      </c>
      <c r="B113">
        <v>-8.5354838709677434</v>
      </c>
      <c r="C113">
        <v>0.21600000000000008</v>
      </c>
      <c r="D113">
        <v>-1.8436645161290333</v>
      </c>
      <c r="E113">
        <v>0.21600000000000008</v>
      </c>
      <c r="F113">
        <v>-9.1677419354838712</v>
      </c>
      <c r="G113">
        <v>0.21600000000000008</v>
      </c>
      <c r="H113">
        <v>-1.9802322580645169</v>
      </c>
      <c r="I113">
        <v>0.21600000000000008</v>
      </c>
      <c r="J113">
        <v>-7.6645161290322594</v>
      </c>
      <c r="K113">
        <v>0.21600000000000008</v>
      </c>
      <c r="L113">
        <v>-1.6555354838709686</v>
      </c>
    </row>
    <row r="114" spans="1:12">
      <c r="A114" s="212">
        <v>0.21700000000000008</v>
      </c>
      <c r="B114">
        <v>-8.5354838709677434</v>
      </c>
      <c r="C114">
        <v>0.21700000000000008</v>
      </c>
      <c r="D114">
        <v>-1.852200000000001</v>
      </c>
      <c r="E114">
        <v>0.21700000000000008</v>
      </c>
      <c r="F114">
        <v>-9.1677419354838712</v>
      </c>
      <c r="G114">
        <v>0.21700000000000008</v>
      </c>
      <c r="H114">
        <v>-1.9894000000000007</v>
      </c>
      <c r="I114">
        <v>0.21700000000000008</v>
      </c>
      <c r="J114">
        <v>-7.6645161290322594</v>
      </c>
      <c r="K114">
        <v>0.21700000000000008</v>
      </c>
      <c r="L114">
        <v>-1.6632000000000009</v>
      </c>
    </row>
    <row r="115" spans="1:12">
      <c r="A115" s="212">
        <v>0.21800000000000008</v>
      </c>
      <c r="B115">
        <v>-8.5354838709677434</v>
      </c>
      <c r="C115">
        <v>0.21800000000000008</v>
      </c>
      <c r="D115">
        <v>-1.8607354838709689</v>
      </c>
      <c r="E115">
        <v>0.21800000000000008</v>
      </c>
      <c r="F115">
        <v>-9.1677419354838712</v>
      </c>
      <c r="G115">
        <v>0.21800000000000008</v>
      </c>
      <c r="H115">
        <v>-1.9985677419354846</v>
      </c>
      <c r="I115">
        <v>0.21800000000000008</v>
      </c>
      <c r="J115">
        <v>-7.6645161290322594</v>
      </c>
      <c r="K115">
        <v>0.21800000000000008</v>
      </c>
      <c r="L115">
        <v>-1.6708645161290332</v>
      </c>
    </row>
    <row r="116" spans="1:12">
      <c r="A116" s="212">
        <v>0.21900000000000008</v>
      </c>
      <c r="B116">
        <v>-8.5354838709677434</v>
      </c>
      <c r="C116">
        <v>0.21900000000000008</v>
      </c>
      <c r="D116">
        <v>-1.8692709677419366</v>
      </c>
      <c r="E116">
        <v>0.21900000000000008</v>
      </c>
      <c r="F116">
        <v>-9.1677419354838712</v>
      </c>
      <c r="G116">
        <v>0.21900000000000008</v>
      </c>
      <c r="H116">
        <v>-2.0077354838709685</v>
      </c>
      <c r="I116">
        <v>0.21900000000000008</v>
      </c>
      <c r="J116">
        <v>-7.6645161290322594</v>
      </c>
      <c r="K116">
        <v>0.21900000000000008</v>
      </c>
      <c r="L116">
        <v>-1.6785290322580655</v>
      </c>
    </row>
    <row r="117" spans="1:12">
      <c r="A117" s="212">
        <v>0.22000000000000008</v>
      </c>
      <c r="B117">
        <v>-8.5354838709677434</v>
      </c>
      <c r="C117">
        <v>0.22000000000000008</v>
      </c>
      <c r="D117">
        <v>-1.8778064516129043</v>
      </c>
      <c r="E117">
        <v>0.22000000000000008</v>
      </c>
      <c r="F117">
        <v>-9.1677419354838712</v>
      </c>
      <c r="G117">
        <v>0.22000000000000008</v>
      </c>
      <c r="H117">
        <v>-2.0169032258064523</v>
      </c>
      <c r="I117">
        <v>0.22000000000000008</v>
      </c>
      <c r="J117">
        <v>-7.6645161290322594</v>
      </c>
      <c r="K117">
        <v>0.22000000000000008</v>
      </c>
      <c r="L117">
        <v>-1.6861935483870978</v>
      </c>
    </row>
    <row r="118" spans="1:12">
      <c r="A118" s="212">
        <v>0.22100000000000009</v>
      </c>
      <c r="B118">
        <v>-8.5354838709677434</v>
      </c>
      <c r="C118">
        <v>0.22100000000000009</v>
      </c>
      <c r="D118">
        <v>-1.886341935483872</v>
      </c>
      <c r="E118">
        <v>0.22100000000000009</v>
      </c>
      <c r="F118">
        <v>-9.1677419354838712</v>
      </c>
      <c r="G118">
        <v>0.22100000000000009</v>
      </c>
      <c r="H118">
        <v>-2.0260709677419362</v>
      </c>
      <c r="I118">
        <v>0.22100000000000009</v>
      </c>
      <c r="J118">
        <v>-7.6645161290322594</v>
      </c>
      <c r="K118">
        <v>0.22100000000000009</v>
      </c>
      <c r="L118">
        <v>-1.6938580645161301</v>
      </c>
    </row>
    <row r="119" spans="1:12">
      <c r="A119" s="212">
        <v>0.22200000000000009</v>
      </c>
      <c r="B119">
        <v>-8.5354838709677434</v>
      </c>
      <c r="C119">
        <v>0.22200000000000009</v>
      </c>
      <c r="D119">
        <v>-1.8948774193548397</v>
      </c>
      <c r="E119">
        <v>0.22200000000000009</v>
      </c>
      <c r="F119">
        <v>-9.1677419354838712</v>
      </c>
      <c r="G119">
        <v>0.22200000000000009</v>
      </c>
      <c r="H119">
        <v>-2.03523870967742</v>
      </c>
      <c r="I119">
        <v>0.22200000000000009</v>
      </c>
      <c r="J119">
        <v>-7.6645161290322594</v>
      </c>
      <c r="K119">
        <v>0.22200000000000009</v>
      </c>
      <c r="L119">
        <v>-1.7015225806451622</v>
      </c>
    </row>
    <row r="120" spans="1:12">
      <c r="A120" s="212">
        <v>0.22300000000000009</v>
      </c>
      <c r="B120">
        <v>-8.5354838709677434</v>
      </c>
      <c r="C120">
        <v>0.22300000000000009</v>
      </c>
      <c r="D120">
        <v>-1.9034129032258076</v>
      </c>
      <c r="E120">
        <v>0.22300000000000009</v>
      </c>
      <c r="F120">
        <v>-9.1677419354838712</v>
      </c>
      <c r="G120">
        <v>0.22300000000000009</v>
      </c>
      <c r="H120">
        <v>-2.0444064516129039</v>
      </c>
      <c r="I120">
        <v>0.22300000000000009</v>
      </c>
      <c r="J120">
        <v>-7.6645161290322594</v>
      </c>
      <c r="K120">
        <v>0.22300000000000009</v>
      </c>
      <c r="L120">
        <v>-1.7091870967741944</v>
      </c>
    </row>
    <row r="121" spans="1:12">
      <c r="A121" s="212">
        <v>0.22400000000000009</v>
      </c>
      <c r="B121">
        <v>-8.5354838709677434</v>
      </c>
      <c r="C121">
        <v>0.22400000000000009</v>
      </c>
      <c r="D121">
        <v>-1.9119483870967753</v>
      </c>
      <c r="E121">
        <v>0.22400000000000009</v>
      </c>
      <c r="F121">
        <v>-9.1677419354838712</v>
      </c>
      <c r="G121">
        <v>0.22400000000000009</v>
      </c>
      <c r="H121">
        <v>-2.0535741935483878</v>
      </c>
      <c r="I121">
        <v>0.22400000000000009</v>
      </c>
      <c r="J121">
        <v>-7.6645161290322594</v>
      </c>
      <c r="K121">
        <v>0.22400000000000009</v>
      </c>
      <c r="L121">
        <v>-1.7168516129032267</v>
      </c>
    </row>
    <row r="122" spans="1:12">
      <c r="A122" s="212">
        <v>0.22500000000000009</v>
      </c>
      <c r="B122">
        <v>-8.5354838709677434</v>
      </c>
      <c r="C122">
        <v>0.22500000000000009</v>
      </c>
      <c r="D122">
        <v>-1.920483870967743</v>
      </c>
      <c r="E122">
        <v>0.22500000000000009</v>
      </c>
      <c r="F122">
        <v>-9.1677419354838712</v>
      </c>
      <c r="G122">
        <v>0.22500000000000009</v>
      </c>
      <c r="H122">
        <v>-2.0627419354838716</v>
      </c>
      <c r="I122">
        <v>0.22500000000000009</v>
      </c>
      <c r="J122">
        <v>-7.6645161290322594</v>
      </c>
      <c r="K122">
        <v>0.22500000000000009</v>
      </c>
      <c r="L122">
        <v>-1.724516129032259</v>
      </c>
    </row>
    <row r="123" spans="1:12">
      <c r="A123" s="212">
        <v>0.22600000000000009</v>
      </c>
      <c r="B123">
        <v>-8.5354838709677434</v>
      </c>
      <c r="C123">
        <v>0.22600000000000009</v>
      </c>
      <c r="D123">
        <v>-1.9290193548387107</v>
      </c>
      <c r="E123">
        <v>0.22600000000000009</v>
      </c>
      <c r="F123">
        <v>-9.1677419354838712</v>
      </c>
      <c r="G123">
        <v>0.22600000000000009</v>
      </c>
      <c r="H123">
        <v>-2.0719096774193555</v>
      </c>
      <c r="I123">
        <v>0.22600000000000009</v>
      </c>
      <c r="J123">
        <v>-7.6645161290322594</v>
      </c>
      <c r="K123">
        <v>0.22600000000000009</v>
      </c>
      <c r="L123">
        <v>-1.7321806451612913</v>
      </c>
    </row>
    <row r="124" spans="1:12">
      <c r="A124" s="212">
        <v>0.22700000000000009</v>
      </c>
      <c r="B124">
        <v>-8.5354838709677434</v>
      </c>
      <c r="C124">
        <v>0.22700000000000009</v>
      </c>
      <c r="D124">
        <v>-1.9375548387096786</v>
      </c>
      <c r="E124">
        <v>0.22700000000000009</v>
      </c>
      <c r="F124">
        <v>-9.1677419354838712</v>
      </c>
      <c r="G124">
        <v>0.22700000000000009</v>
      </c>
      <c r="H124">
        <v>-2.0810774193548398</v>
      </c>
      <c r="I124">
        <v>0.22700000000000009</v>
      </c>
      <c r="J124">
        <v>-7.6645161290322594</v>
      </c>
      <c r="K124">
        <v>0.22700000000000009</v>
      </c>
      <c r="L124">
        <v>-1.7398451612903236</v>
      </c>
    </row>
    <row r="125" spans="1:12">
      <c r="A125" s="212">
        <v>0.22800000000000009</v>
      </c>
      <c r="B125">
        <v>-8.5354838709677434</v>
      </c>
      <c r="C125">
        <v>0.22800000000000009</v>
      </c>
      <c r="D125">
        <v>-1.9460903225806463</v>
      </c>
      <c r="E125">
        <v>0.22800000000000009</v>
      </c>
      <c r="F125">
        <v>-9.1677419354838712</v>
      </c>
      <c r="G125">
        <v>0.22800000000000009</v>
      </c>
      <c r="H125">
        <v>-2.0902451612903237</v>
      </c>
      <c r="I125">
        <v>0.22800000000000009</v>
      </c>
      <c r="J125">
        <v>-7.6645161290322594</v>
      </c>
      <c r="K125">
        <v>0.22800000000000009</v>
      </c>
      <c r="L125">
        <v>-1.7475096774193559</v>
      </c>
    </row>
    <row r="126" spans="1:12">
      <c r="A126" s="212">
        <v>0.22900000000000009</v>
      </c>
      <c r="B126">
        <v>-8.5354838709677434</v>
      </c>
      <c r="C126">
        <v>0.22900000000000009</v>
      </c>
      <c r="D126">
        <v>-1.954625806451614</v>
      </c>
      <c r="E126">
        <v>0.22900000000000009</v>
      </c>
      <c r="F126">
        <v>-9.1677419354838712</v>
      </c>
      <c r="G126">
        <v>0.22900000000000009</v>
      </c>
      <c r="H126">
        <v>-2.0994129032258075</v>
      </c>
      <c r="I126">
        <v>0.22900000000000009</v>
      </c>
      <c r="J126">
        <v>-7.6645161290322594</v>
      </c>
      <c r="K126">
        <v>0.22900000000000009</v>
      </c>
      <c r="L126">
        <v>-1.7551741935483882</v>
      </c>
    </row>
    <row r="127" spans="1:12">
      <c r="A127" s="212">
        <v>0.23000000000000009</v>
      </c>
      <c r="B127">
        <v>-8.5354838709677434</v>
      </c>
      <c r="C127">
        <v>0.23000000000000009</v>
      </c>
      <c r="D127">
        <v>-1.9631612903225817</v>
      </c>
      <c r="E127">
        <v>0.23000000000000009</v>
      </c>
      <c r="F127">
        <v>-9.1677419354838712</v>
      </c>
      <c r="G127">
        <v>0.23000000000000009</v>
      </c>
      <c r="H127">
        <v>-2.1085806451612914</v>
      </c>
      <c r="I127">
        <v>0.23000000000000009</v>
      </c>
      <c r="J127">
        <v>-7.6645161290322594</v>
      </c>
      <c r="K127">
        <v>0.23000000000000009</v>
      </c>
      <c r="L127">
        <v>-1.7628387096774203</v>
      </c>
    </row>
    <row r="128" spans="1:12">
      <c r="A128" s="212">
        <v>0.2400000000000001</v>
      </c>
      <c r="B128">
        <v>-8.5354838709677434</v>
      </c>
      <c r="C128">
        <v>0.2400000000000001</v>
      </c>
      <c r="D128">
        <v>-2.0485161290322593</v>
      </c>
      <c r="E128">
        <v>0.2400000000000001</v>
      </c>
      <c r="F128">
        <v>-9.1677419354838712</v>
      </c>
      <c r="G128">
        <v>0.2400000000000001</v>
      </c>
      <c r="H128">
        <v>-2.20025806451613</v>
      </c>
      <c r="I128">
        <v>0.2400000000000001</v>
      </c>
      <c r="J128">
        <v>-7.6645161290322594</v>
      </c>
      <c r="K128">
        <v>0.2400000000000001</v>
      </c>
      <c r="L128">
        <v>-1.839483870967743</v>
      </c>
    </row>
    <row r="129" spans="1:12">
      <c r="A129" s="212">
        <v>0.25000000000000011</v>
      </c>
      <c r="B129">
        <v>-8.5354838709677434</v>
      </c>
      <c r="C129">
        <v>0.25000000000000011</v>
      </c>
      <c r="D129">
        <v>-2.1338709677419367</v>
      </c>
      <c r="E129">
        <v>0.25000000000000011</v>
      </c>
      <c r="F129">
        <v>-9.1677419354838712</v>
      </c>
      <c r="G129">
        <v>0.25000000000000011</v>
      </c>
      <c r="H129">
        <v>-2.2919354838709687</v>
      </c>
      <c r="I129">
        <v>0.25000000000000011</v>
      </c>
      <c r="J129">
        <v>-7.6645161290322594</v>
      </c>
      <c r="K129">
        <v>0.25000000000000011</v>
      </c>
      <c r="L129">
        <v>-1.9161290322580657</v>
      </c>
    </row>
    <row r="130" spans="1:12">
      <c r="A130" s="212">
        <v>0.26000000000000012</v>
      </c>
      <c r="B130">
        <v>-8.5354838709677434</v>
      </c>
      <c r="C130">
        <v>0.26000000000000012</v>
      </c>
      <c r="D130">
        <v>-2.2192258064516142</v>
      </c>
      <c r="E130">
        <v>0.26000000000000012</v>
      </c>
      <c r="F130">
        <v>-9.1677419354838712</v>
      </c>
      <c r="G130">
        <v>0.26000000000000012</v>
      </c>
      <c r="H130">
        <v>-2.3836129032258078</v>
      </c>
      <c r="I130">
        <v>0.26000000000000012</v>
      </c>
      <c r="J130">
        <v>-7.6645161290322594</v>
      </c>
      <c r="K130">
        <v>0.26000000000000012</v>
      </c>
      <c r="L130">
        <v>-1.9927741935483885</v>
      </c>
    </row>
    <row r="131" spans="1:12">
      <c r="A131" s="212">
        <v>0.27000000000000013</v>
      </c>
      <c r="B131">
        <v>-8.5354838709677434</v>
      </c>
      <c r="C131">
        <v>0.27000000000000013</v>
      </c>
      <c r="D131">
        <v>-2.304580645161292</v>
      </c>
      <c r="E131">
        <v>0.27000000000000013</v>
      </c>
      <c r="F131">
        <v>-9.1677419354838712</v>
      </c>
      <c r="G131">
        <v>0.27000000000000013</v>
      </c>
      <c r="H131">
        <v>-2.4752903225806464</v>
      </c>
      <c r="I131">
        <v>0.27000000000000013</v>
      </c>
      <c r="J131">
        <v>-7.6645161290322594</v>
      </c>
      <c r="K131">
        <v>0.27000000000000013</v>
      </c>
      <c r="L131">
        <v>-2.0694193548387112</v>
      </c>
    </row>
    <row r="132" spans="1:12">
      <c r="A132" s="212">
        <v>0.28000000000000014</v>
      </c>
      <c r="B132">
        <v>-8.5354838709677434</v>
      </c>
      <c r="C132">
        <v>0.28000000000000014</v>
      </c>
      <c r="D132">
        <v>-2.3899354838709694</v>
      </c>
      <c r="E132">
        <v>0.28000000000000014</v>
      </c>
      <c r="F132">
        <v>-9.1677419354838712</v>
      </c>
      <c r="G132">
        <v>0.28000000000000014</v>
      </c>
      <c r="H132">
        <v>-2.566967741935485</v>
      </c>
      <c r="I132">
        <v>0.28000000000000014</v>
      </c>
      <c r="J132">
        <v>-7.6645161290322594</v>
      </c>
      <c r="K132">
        <v>0.28000000000000014</v>
      </c>
      <c r="L132">
        <v>-2.1460645161290337</v>
      </c>
    </row>
    <row r="133" spans="1:12">
      <c r="A133" s="212">
        <v>0.29000000000000015</v>
      </c>
      <c r="B133">
        <v>-8.5354838709677434</v>
      </c>
      <c r="C133">
        <v>0.29000000000000015</v>
      </c>
      <c r="D133">
        <v>-2.4752903225806469</v>
      </c>
      <c r="E133">
        <v>0.29000000000000015</v>
      </c>
      <c r="F133">
        <v>-9.1677419354838712</v>
      </c>
      <c r="G133">
        <v>0.29000000000000015</v>
      </c>
      <c r="H133">
        <v>-2.6586451612903241</v>
      </c>
      <c r="I133">
        <v>0.29000000000000015</v>
      </c>
      <c r="J133">
        <v>-7.6645161290322594</v>
      </c>
      <c r="K133">
        <v>0.29000000000000015</v>
      </c>
      <c r="L133">
        <v>-2.2227096774193562</v>
      </c>
    </row>
    <row r="134" spans="1:12">
      <c r="A134" s="212">
        <v>0.30000000000000016</v>
      </c>
      <c r="B134">
        <v>-8.5354838709677434</v>
      </c>
      <c r="C134">
        <v>0.30000000000000016</v>
      </c>
      <c r="D134">
        <v>-2.5606451612903243</v>
      </c>
      <c r="E134">
        <v>0.29100000000000015</v>
      </c>
      <c r="F134">
        <v>-9.1677419354838712</v>
      </c>
      <c r="G134">
        <v>0.29100000000000015</v>
      </c>
      <c r="H134">
        <v>-2.667812903225808</v>
      </c>
      <c r="I134">
        <v>0.30000000000000016</v>
      </c>
      <c r="J134">
        <v>-7.6645161290322594</v>
      </c>
      <c r="K134">
        <v>0.30000000000000016</v>
      </c>
      <c r="L134">
        <v>-2.2993548387096792</v>
      </c>
    </row>
    <row r="135" spans="1:12">
      <c r="A135" s="212">
        <v>0.30100000000000016</v>
      </c>
      <c r="B135">
        <v>-8.5354838709677434</v>
      </c>
      <c r="C135">
        <v>0.30100000000000016</v>
      </c>
      <c r="D135">
        <v>-2.5691806451612922</v>
      </c>
      <c r="E135">
        <v>0.29200000000000015</v>
      </c>
      <c r="F135">
        <v>-9.1677419354838712</v>
      </c>
      <c r="G135">
        <v>0.29200000000000015</v>
      </c>
      <c r="H135">
        <v>-2.6769806451612919</v>
      </c>
      <c r="I135">
        <v>0.30100000000000016</v>
      </c>
      <c r="J135">
        <v>-7.6645161290322594</v>
      </c>
      <c r="K135">
        <v>0.30100000000000016</v>
      </c>
      <c r="L135">
        <v>-2.3070193548387112</v>
      </c>
    </row>
    <row r="136" spans="1:12">
      <c r="A136" s="212">
        <v>0.30200000000000016</v>
      </c>
      <c r="B136">
        <v>-8.5354838709677434</v>
      </c>
      <c r="C136">
        <v>0.30200000000000016</v>
      </c>
      <c r="D136">
        <v>-2.5777161290322597</v>
      </c>
      <c r="E136">
        <v>0.29300000000000015</v>
      </c>
      <c r="F136">
        <v>-9.1677419354838712</v>
      </c>
      <c r="G136">
        <v>0.29300000000000015</v>
      </c>
      <c r="H136">
        <v>-2.6861483870967757</v>
      </c>
      <c r="I136">
        <v>0.30200000000000016</v>
      </c>
      <c r="J136">
        <v>-7.6645161290322594</v>
      </c>
      <c r="K136">
        <v>0.30200000000000016</v>
      </c>
      <c r="L136">
        <v>-2.3146838709677438</v>
      </c>
    </row>
    <row r="137" spans="1:12">
      <c r="A137" s="212">
        <v>0.30300000000000016</v>
      </c>
      <c r="B137">
        <v>-8.5354838709677434</v>
      </c>
      <c r="C137">
        <v>0.30300000000000016</v>
      </c>
      <c r="D137">
        <v>-2.5862516129032276</v>
      </c>
      <c r="E137">
        <v>0.29400000000000015</v>
      </c>
      <c r="F137">
        <v>-9.1677419354838712</v>
      </c>
      <c r="G137">
        <v>0.29400000000000015</v>
      </c>
      <c r="H137">
        <v>-2.6953161290322596</v>
      </c>
      <c r="I137">
        <v>0.30300000000000016</v>
      </c>
      <c r="J137">
        <v>-7.6645161290322594</v>
      </c>
      <c r="K137">
        <v>0.30300000000000016</v>
      </c>
      <c r="L137">
        <v>-2.3223483870967758</v>
      </c>
    </row>
    <row r="138" spans="1:12">
      <c r="A138" s="212">
        <v>0.30400000000000016</v>
      </c>
      <c r="B138">
        <v>-8.5354838709677434</v>
      </c>
      <c r="C138">
        <v>0.30400000000000016</v>
      </c>
      <c r="D138">
        <v>-2.5947870967741955</v>
      </c>
      <c r="E138">
        <v>0.29500000000000015</v>
      </c>
      <c r="F138">
        <v>-9.1677419354838712</v>
      </c>
      <c r="G138">
        <v>0.29500000000000015</v>
      </c>
      <c r="H138">
        <v>-2.7044838709677435</v>
      </c>
      <c r="I138">
        <v>0.30400000000000016</v>
      </c>
      <c r="J138">
        <v>-7.6645161290322594</v>
      </c>
      <c r="K138">
        <v>0.30400000000000016</v>
      </c>
      <c r="L138">
        <v>-2.3300129032258079</v>
      </c>
    </row>
    <row r="139" spans="1:12">
      <c r="A139" s="212">
        <v>0.30500000000000016</v>
      </c>
      <c r="B139">
        <v>-8.5354838709677434</v>
      </c>
      <c r="C139">
        <v>0.30500000000000016</v>
      </c>
      <c r="D139">
        <v>-2.603322580645163</v>
      </c>
      <c r="E139">
        <v>0.29600000000000015</v>
      </c>
      <c r="F139">
        <v>-9.1677419354838712</v>
      </c>
      <c r="G139">
        <v>0.29600000000000015</v>
      </c>
      <c r="H139">
        <v>-2.7136516129032273</v>
      </c>
      <c r="I139">
        <v>0.30500000000000016</v>
      </c>
      <c r="J139">
        <v>-7.6645161290322594</v>
      </c>
      <c r="K139">
        <v>0.30500000000000016</v>
      </c>
      <c r="L139">
        <v>-2.3376774193548404</v>
      </c>
    </row>
    <row r="140" spans="1:12">
      <c r="A140" s="212">
        <v>0.30600000000000016</v>
      </c>
      <c r="B140">
        <v>-8.5354838709677434</v>
      </c>
      <c r="C140">
        <v>0.30600000000000016</v>
      </c>
      <c r="D140">
        <v>-2.6118580645161309</v>
      </c>
      <c r="E140">
        <v>0.29700000000000015</v>
      </c>
      <c r="F140">
        <v>-9.1677419354838712</v>
      </c>
      <c r="G140">
        <v>0.29700000000000015</v>
      </c>
      <c r="H140">
        <v>-2.7228193548387112</v>
      </c>
      <c r="I140">
        <v>0.30600000000000016</v>
      </c>
      <c r="J140">
        <v>-7.6645161290322594</v>
      </c>
      <c r="K140">
        <v>0.30600000000000016</v>
      </c>
      <c r="L140">
        <v>-2.3453419354838725</v>
      </c>
    </row>
    <row r="141" spans="1:12">
      <c r="A141" s="212">
        <v>0.30700000000000016</v>
      </c>
      <c r="B141">
        <v>-8.5354838709677434</v>
      </c>
      <c r="C141">
        <v>0.30700000000000016</v>
      </c>
      <c r="D141">
        <v>-2.6203935483870988</v>
      </c>
      <c r="E141">
        <v>0.29800000000000015</v>
      </c>
      <c r="F141">
        <v>-9.1677419354838712</v>
      </c>
      <c r="G141">
        <v>0.29800000000000015</v>
      </c>
      <c r="H141">
        <v>-2.731987096774195</v>
      </c>
      <c r="I141">
        <v>0.30700000000000016</v>
      </c>
      <c r="J141">
        <v>-7.6645161290322594</v>
      </c>
      <c r="K141">
        <v>0.30700000000000016</v>
      </c>
      <c r="L141">
        <v>-2.353006451612905</v>
      </c>
    </row>
    <row r="142" spans="1:12">
      <c r="A142" s="212">
        <v>0.30800000000000016</v>
      </c>
      <c r="B142">
        <v>-8.5354838709677434</v>
      </c>
      <c r="C142">
        <v>0.30800000000000016</v>
      </c>
      <c r="D142">
        <v>-2.6289290322580663</v>
      </c>
      <c r="E142">
        <v>0.29900000000000015</v>
      </c>
      <c r="F142">
        <v>-9.1677419354838712</v>
      </c>
      <c r="G142">
        <v>0.29900000000000015</v>
      </c>
      <c r="H142">
        <v>-2.7411548387096789</v>
      </c>
      <c r="I142">
        <v>0.30800000000000016</v>
      </c>
      <c r="J142">
        <v>-7.6645161290322594</v>
      </c>
      <c r="K142">
        <v>0.30800000000000016</v>
      </c>
      <c r="L142">
        <v>-2.3606709677419371</v>
      </c>
    </row>
    <row r="143" spans="1:12">
      <c r="A143" s="212">
        <v>0.30900000000000016</v>
      </c>
      <c r="B143">
        <v>-8.5354838709677434</v>
      </c>
      <c r="C143">
        <v>0.30900000000000016</v>
      </c>
      <c r="D143">
        <v>-2.6374645161290342</v>
      </c>
      <c r="E143">
        <v>0.30000000000000016</v>
      </c>
      <c r="F143">
        <v>-9.1677419354838712</v>
      </c>
      <c r="G143">
        <v>0.30000000000000016</v>
      </c>
      <c r="H143">
        <v>-2.7503225806451628</v>
      </c>
      <c r="I143">
        <v>0.30900000000000016</v>
      </c>
      <c r="J143">
        <v>-7.6645161290322594</v>
      </c>
      <c r="K143">
        <v>0.30900000000000016</v>
      </c>
      <c r="L143">
        <v>-2.3683354838709696</v>
      </c>
    </row>
    <row r="144" spans="1:12">
      <c r="A144" s="212">
        <v>0.31000000000000016</v>
      </c>
      <c r="B144">
        <v>-8.5354838709677434</v>
      </c>
      <c r="C144">
        <v>0.31000000000000016</v>
      </c>
      <c r="D144">
        <v>-2.6460000000000017</v>
      </c>
      <c r="E144">
        <v>0.30100000000000016</v>
      </c>
      <c r="F144">
        <v>-9.1677419354838712</v>
      </c>
      <c r="G144">
        <v>0.30100000000000016</v>
      </c>
      <c r="H144">
        <v>-2.7594903225806466</v>
      </c>
      <c r="I144">
        <v>0.31000000000000016</v>
      </c>
      <c r="J144">
        <v>-7.6645161290322594</v>
      </c>
      <c r="K144">
        <v>0.31000000000000016</v>
      </c>
      <c r="L144">
        <v>-2.3760000000000017</v>
      </c>
    </row>
    <row r="145" spans="1:12">
      <c r="A145" s="212">
        <v>0.31100000000000017</v>
      </c>
      <c r="B145">
        <v>-8.5354838709677434</v>
      </c>
      <c r="C145">
        <v>0.31100000000000017</v>
      </c>
      <c r="D145">
        <v>-2.6545354838709696</v>
      </c>
      <c r="E145">
        <v>0.30200000000000016</v>
      </c>
      <c r="F145">
        <v>-9.1677419354838712</v>
      </c>
      <c r="G145">
        <v>0.30200000000000016</v>
      </c>
      <c r="H145">
        <v>-2.7686580645161305</v>
      </c>
      <c r="I145">
        <v>0.31100000000000017</v>
      </c>
      <c r="J145">
        <v>-7.6645161290322594</v>
      </c>
      <c r="K145">
        <v>0.31100000000000017</v>
      </c>
      <c r="L145">
        <v>-2.3836645161290337</v>
      </c>
    </row>
    <row r="146" spans="1:12">
      <c r="A146" s="212">
        <v>0.31200000000000017</v>
      </c>
      <c r="B146">
        <v>-8.5354838709677434</v>
      </c>
      <c r="C146">
        <v>0.31200000000000017</v>
      </c>
      <c r="D146">
        <v>-2.6630709677419375</v>
      </c>
      <c r="E146">
        <v>0.30300000000000016</v>
      </c>
      <c r="F146">
        <v>-9.1677419354838712</v>
      </c>
      <c r="G146">
        <v>0.30300000000000016</v>
      </c>
      <c r="H146">
        <v>-2.7778258064516144</v>
      </c>
      <c r="I146">
        <v>0.31200000000000017</v>
      </c>
      <c r="J146">
        <v>-7.6645161290322594</v>
      </c>
      <c r="K146">
        <v>0.31200000000000017</v>
      </c>
      <c r="L146">
        <v>-2.3913290322580663</v>
      </c>
    </row>
    <row r="147" spans="1:12">
      <c r="A147" s="212">
        <v>0.31300000000000017</v>
      </c>
      <c r="B147">
        <v>-8.5354838709677434</v>
      </c>
      <c r="C147">
        <v>0.31300000000000017</v>
      </c>
      <c r="D147">
        <v>-2.671606451612905</v>
      </c>
      <c r="E147">
        <v>0.30400000000000016</v>
      </c>
      <c r="F147">
        <v>-9.1677419354838712</v>
      </c>
      <c r="G147">
        <v>0.30400000000000016</v>
      </c>
      <c r="H147">
        <v>-2.7869935483870982</v>
      </c>
      <c r="I147">
        <v>0.31300000000000017</v>
      </c>
      <c r="J147">
        <v>-7.6645161290322594</v>
      </c>
      <c r="K147">
        <v>0.31300000000000017</v>
      </c>
      <c r="L147">
        <v>-2.3989935483870983</v>
      </c>
    </row>
    <row r="148" spans="1:12">
      <c r="A148" s="212">
        <v>0.31400000000000017</v>
      </c>
      <c r="B148">
        <v>-8.5354838709677434</v>
      </c>
      <c r="C148">
        <v>0.31400000000000017</v>
      </c>
      <c r="D148">
        <v>-2.6801419354838729</v>
      </c>
      <c r="E148">
        <v>0.30500000000000016</v>
      </c>
      <c r="F148">
        <v>-9.1677419354838712</v>
      </c>
      <c r="G148">
        <v>0.30500000000000016</v>
      </c>
      <c r="H148">
        <v>-2.7961612903225821</v>
      </c>
      <c r="I148">
        <v>0.31400000000000017</v>
      </c>
      <c r="J148">
        <v>-7.6645161290322594</v>
      </c>
      <c r="K148">
        <v>0.31400000000000017</v>
      </c>
      <c r="L148">
        <v>-2.4066580645161308</v>
      </c>
    </row>
    <row r="149" spans="1:12">
      <c r="A149" s="212">
        <v>0.31500000000000017</v>
      </c>
      <c r="B149">
        <v>-8.5354838709677434</v>
      </c>
      <c r="C149">
        <v>0.31500000000000017</v>
      </c>
      <c r="D149">
        <v>-2.6886774193548408</v>
      </c>
      <c r="E149">
        <v>0.30600000000000016</v>
      </c>
      <c r="F149">
        <v>-9.1677419354838712</v>
      </c>
      <c r="G149">
        <v>0.30600000000000016</v>
      </c>
      <c r="H149">
        <v>-2.805329032258066</v>
      </c>
      <c r="I149">
        <v>0.31500000000000017</v>
      </c>
      <c r="J149">
        <v>-7.6645161290322594</v>
      </c>
      <c r="K149">
        <v>0.31500000000000017</v>
      </c>
      <c r="L149">
        <v>-2.4143225806451629</v>
      </c>
    </row>
    <row r="150" spans="1:12">
      <c r="A150" s="212">
        <v>0.31600000000000017</v>
      </c>
      <c r="B150">
        <v>-8.5354838709677434</v>
      </c>
      <c r="C150">
        <v>0.31600000000000017</v>
      </c>
      <c r="D150">
        <v>-2.6972129032258083</v>
      </c>
      <c r="E150">
        <v>0.30700000000000016</v>
      </c>
      <c r="F150">
        <v>-9.1677419354838712</v>
      </c>
      <c r="G150">
        <v>0.30700000000000016</v>
      </c>
      <c r="H150">
        <v>-2.8144967741935498</v>
      </c>
      <c r="I150">
        <v>0.31600000000000017</v>
      </c>
      <c r="J150">
        <v>-7.6645161290322594</v>
      </c>
      <c r="K150">
        <v>0.31600000000000017</v>
      </c>
      <c r="L150">
        <v>-2.4219870967741954</v>
      </c>
    </row>
    <row r="151" spans="1:12">
      <c r="A151" s="212">
        <v>0.31700000000000017</v>
      </c>
      <c r="B151">
        <v>-8.5354838709677434</v>
      </c>
      <c r="C151">
        <v>0.31700000000000017</v>
      </c>
      <c r="D151">
        <v>-2.7057483870967762</v>
      </c>
      <c r="E151">
        <v>0.30800000000000016</v>
      </c>
      <c r="F151">
        <v>-9.1677419354838712</v>
      </c>
      <c r="G151">
        <v>0.30800000000000016</v>
      </c>
      <c r="H151">
        <v>-2.8236645161290337</v>
      </c>
      <c r="I151">
        <v>0.31700000000000017</v>
      </c>
      <c r="J151">
        <v>-7.6645161290322594</v>
      </c>
      <c r="K151">
        <v>0.31700000000000017</v>
      </c>
      <c r="L151">
        <v>-2.4296516129032275</v>
      </c>
    </row>
    <row r="152" spans="1:12">
      <c r="A152" s="212">
        <v>0.31800000000000017</v>
      </c>
      <c r="B152">
        <v>-8.5354838709677434</v>
      </c>
      <c r="C152">
        <v>0.31800000000000017</v>
      </c>
      <c r="D152">
        <v>-2.7142838709677437</v>
      </c>
      <c r="E152">
        <v>0.30900000000000016</v>
      </c>
      <c r="F152">
        <v>-9.1677419354838712</v>
      </c>
      <c r="G152">
        <v>0.30900000000000016</v>
      </c>
      <c r="H152">
        <v>-2.8328322580645175</v>
      </c>
      <c r="I152">
        <v>0.31800000000000017</v>
      </c>
      <c r="J152">
        <v>-7.6645161290322594</v>
      </c>
      <c r="K152">
        <v>0.31800000000000017</v>
      </c>
      <c r="L152">
        <v>-2.43731612903226</v>
      </c>
    </row>
    <row r="153" spans="1:12">
      <c r="A153" s="212">
        <v>0.31900000000000017</v>
      </c>
      <c r="B153">
        <v>-8.5354838709677434</v>
      </c>
      <c r="C153">
        <v>0.31900000000000017</v>
      </c>
      <c r="D153">
        <v>-2.7228193548387116</v>
      </c>
      <c r="E153">
        <v>0.31000000000000016</v>
      </c>
      <c r="F153">
        <v>-9.1677419354838712</v>
      </c>
      <c r="G153">
        <v>0.31000000000000016</v>
      </c>
      <c r="H153">
        <v>-2.8420000000000014</v>
      </c>
      <c r="I153">
        <v>0.31900000000000017</v>
      </c>
      <c r="J153">
        <v>-7.6645161290322594</v>
      </c>
      <c r="K153">
        <v>0.31900000000000017</v>
      </c>
      <c r="L153">
        <v>-2.4449806451612921</v>
      </c>
    </row>
    <row r="154" spans="1:12">
      <c r="A154" s="212">
        <v>0.32000000000000017</v>
      </c>
      <c r="B154">
        <v>-8.5354838709677434</v>
      </c>
      <c r="C154">
        <v>0.32000000000000017</v>
      </c>
      <c r="D154">
        <v>-2.7313548387096795</v>
      </c>
      <c r="E154">
        <v>0.31100000000000017</v>
      </c>
      <c r="F154">
        <v>-9.1677419354838712</v>
      </c>
      <c r="G154">
        <v>0.31100000000000017</v>
      </c>
      <c r="H154">
        <v>-2.8511677419354853</v>
      </c>
      <c r="I154">
        <v>0.32000000000000017</v>
      </c>
      <c r="J154">
        <v>-7.6645161290322594</v>
      </c>
      <c r="K154">
        <v>0.32000000000000017</v>
      </c>
      <c r="L154">
        <v>-2.4526451612903242</v>
      </c>
    </row>
    <row r="155" spans="1:12">
      <c r="A155" s="212">
        <v>0.32100000000000017</v>
      </c>
      <c r="B155">
        <v>-8.5354838709677434</v>
      </c>
      <c r="C155">
        <v>0.32100000000000017</v>
      </c>
      <c r="D155">
        <v>-2.739890322580647</v>
      </c>
      <c r="E155">
        <v>0.31200000000000017</v>
      </c>
      <c r="F155">
        <v>-9.1677419354838712</v>
      </c>
      <c r="G155">
        <v>0.31200000000000017</v>
      </c>
      <c r="H155">
        <v>-2.8603354838709691</v>
      </c>
      <c r="I155">
        <v>0.32100000000000017</v>
      </c>
      <c r="J155">
        <v>-7.6645161290322594</v>
      </c>
      <c r="K155">
        <v>0.32100000000000017</v>
      </c>
      <c r="L155">
        <v>-2.4603096774193567</v>
      </c>
    </row>
    <row r="156" spans="1:12">
      <c r="A156" s="212">
        <v>0.32200000000000017</v>
      </c>
      <c r="B156">
        <v>-8.5354838709677434</v>
      </c>
      <c r="C156">
        <v>0.32200000000000017</v>
      </c>
      <c r="D156">
        <v>-2.7484258064516149</v>
      </c>
      <c r="E156">
        <v>0.31300000000000017</v>
      </c>
      <c r="F156">
        <v>-9.1677419354838712</v>
      </c>
      <c r="G156">
        <v>0.31300000000000017</v>
      </c>
      <c r="H156">
        <v>-2.869503225806453</v>
      </c>
      <c r="I156">
        <v>0.32200000000000017</v>
      </c>
      <c r="J156">
        <v>-7.6645161290322594</v>
      </c>
      <c r="K156">
        <v>0.32200000000000017</v>
      </c>
      <c r="L156">
        <v>-2.4679741935483888</v>
      </c>
    </row>
    <row r="157" spans="1:12">
      <c r="A157" s="212">
        <v>0.32300000000000018</v>
      </c>
      <c r="B157">
        <v>-8.5354838709677434</v>
      </c>
      <c r="C157">
        <v>0.32300000000000018</v>
      </c>
      <c r="D157">
        <v>-2.7569612903225824</v>
      </c>
      <c r="E157">
        <v>0.31400000000000017</v>
      </c>
      <c r="F157">
        <v>-9.1677419354838712</v>
      </c>
      <c r="G157">
        <v>0.31400000000000017</v>
      </c>
      <c r="H157">
        <v>-2.8786709677419369</v>
      </c>
      <c r="I157">
        <v>0.32300000000000018</v>
      </c>
      <c r="J157">
        <v>-7.6645161290322594</v>
      </c>
      <c r="K157">
        <v>0.32300000000000018</v>
      </c>
      <c r="L157">
        <v>-2.4756387096774213</v>
      </c>
    </row>
    <row r="158" spans="1:12">
      <c r="A158" s="212">
        <v>0.32400000000000018</v>
      </c>
      <c r="B158">
        <v>-8.5354838709677434</v>
      </c>
      <c r="C158">
        <v>0.32400000000000018</v>
      </c>
      <c r="D158">
        <v>-2.7654967741935503</v>
      </c>
      <c r="E158">
        <v>0.31500000000000017</v>
      </c>
      <c r="F158">
        <v>-9.1677419354838712</v>
      </c>
      <c r="G158">
        <v>0.31500000000000017</v>
      </c>
      <c r="H158">
        <v>-2.8878387096774212</v>
      </c>
      <c r="I158">
        <v>0.32400000000000018</v>
      </c>
      <c r="J158">
        <v>-7.6645161290322594</v>
      </c>
      <c r="K158">
        <v>0.32400000000000018</v>
      </c>
      <c r="L158">
        <v>-2.4833032258064534</v>
      </c>
    </row>
    <row r="159" spans="1:12">
      <c r="A159" s="212">
        <v>0.32500000000000018</v>
      </c>
      <c r="B159">
        <v>-8.5354838709677434</v>
      </c>
      <c r="C159">
        <v>0.32500000000000018</v>
      </c>
      <c r="D159">
        <v>-2.7740322580645183</v>
      </c>
      <c r="E159">
        <v>0.31600000000000017</v>
      </c>
      <c r="F159">
        <v>-9.1677419354838712</v>
      </c>
      <c r="G159">
        <v>0.31600000000000017</v>
      </c>
      <c r="H159">
        <v>-2.897006451612905</v>
      </c>
      <c r="I159">
        <v>0.32500000000000018</v>
      </c>
      <c r="J159">
        <v>-7.6645161290322594</v>
      </c>
      <c r="K159">
        <v>0.32500000000000018</v>
      </c>
      <c r="L159">
        <v>-2.4909677419354859</v>
      </c>
    </row>
    <row r="160" spans="1:12">
      <c r="A160" s="212">
        <v>0.32600000000000018</v>
      </c>
      <c r="B160">
        <v>-8.5354838709677434</v>
      </c>
      <c r="C160">
        <v>0.32600000000000018</v>
      </c>
      <c r="D160">
        <v>-2.7825677419354857</v>
      </c>
      <c r="E160">
        <v>0.31700000000000017</v>
      </c>
      <c r="F160">
        <v>-9.1677419354838712</v>
      </c>
      <c r="G160">
        <v>0.31700000000000017</v>
      </c>
      <c r="H160">
        <v>-2.9061741935483889</v>
      </c>
      <c r="I160">
        <v>0.32600000000000018</v>
      </c>
      <c r="J160">
        <v>-7.6645161290322594</v>
      </c>
      <c r="K160">
        <v>0.32600000000000018</v>
      </c>
      <c r="L160">
        <v>-2.4986322580645179</v>
      </c>
    </row>
    <row r="161" spans="1:12">
      <c r="A161" s="212">
        <v>0.32700000000000018</v>
      </c>
      <c r="B161">
        <v>-8.5354838709677434</v>
      </c>
      <c r="C161">
        <v>0.32700000000000018</v>
      </c>
      <c r="D161">
        <v>-2.7911032258064536</v>
      </c>
      <c r="E161">
        <v>0.31800000000000017</v>
      </c>
      <c r="F161">
        <v>-9.1677419354838712</v>
      </c>
      <c r="G161">
        <v>0.31800000000000017</v>
      </c>
      <c r="H161">
        <v>-2.9153419354838728</v>
      </c>
      <c r="I161">
        <v>0.32700000000000018</v>
      </c>
      <c r="J161">
        <v>-7.6645161290322594</v>
      </c>
      <c r="K161">
        <v>0.32700000000000018</v>
      </c>
      <c r="L161">
        <v>-2.50629677419355</v>
      </c>
    </row>
    <row r="162" spans="1:12">
      <c r="A162" s="212">
        <v>0.32800000000000018</v>
      </c>
      <c r="B162">
        <v>-8.5354838709677434</v>
      </c>
      <c r="C162">
        <v>0.32800000000000018</v>
      </c>
      <c r="D162">
        <v>-2.7996387096774216</v>
      </c>
      <c r="E162">
        <v>0.31900000000000017</v>
      </c>
      <c r="F162">
        <v>-9.1677419354838712</v>
      </c>
      <c r="G162">
        <v>0.31900000000000017</v>
      </c>
      <c r="H162">
        <v>-2.9245096774193566</v>
      </c>
      <c r="I162">
        <v>0.32800000000000018</v>
      </c>
      <c r="J162">
        <v>-7.6645161290322594</v>
      </c>
      <c r="K162">
        <v>0.32800000000000018</v>
      </c>
      <c r="L162">
        <v>-2.5139612903225825</v>
      </c>
    </row>
    <row r="163" spans="1:12">
      <c r="A163" s="212">
        <v>0.32900000000000018</v>
      </c>
      <c r="B163">
        <v>-8.5354838709677434</v>
      </c>
      <c r="C163">
        <v>0.32900000000000018</v>
      </c>
      <c r="D163">
        <v>-2.808174193548389</v>
      </c>
      <c r="E163">
        <v>0.32000000000000017</v>
      </c>
      <c r="F163">
        <v>-9.1677419354838712</v>
      </c>
      <c r="G163">
        <v>0.32000000000000017</v>
      </c>
      <c r="H163">
        <v>-2.9336774193548405</v>
      </c>
      <c r="I163">
        <v>0.32900000000000018</v>
      </c>
      <c r="J163">
        <v>-7.6645161290322594</v>
      </c>
      <c r="K163">
        <v>0.32900000000000018</v>
      </c>
      <c r="L163">
        <v>-2.5216258064516146</v>
      </c>
    </row>
    <row r="164" spans="1:12">
      <c r="A164" s="212">
        <v>0.33000000000000018</v>
      </c>
      <c r="B164">
        <v>-8.5354838709677434</v>
      </c>
      <c r="C164">
        <v>0.33000000000000018</v>
      </c>
      <c r="D164">
        <v>-2.816709677419357</v>
      </c>
      <c r="E164">
        <v>0.32100000000000017</v>
      </c>
      <c r="F164">
        <v>-9.1677419354838712</v>
      </c>
      <c r="G164">
        <v>0.32100000000000017</v>
      </c>
      <c r="H164">
        <v>-2.9428451612903244</v>
      </c>
      <c r="I164">
        <v>0.33000000000000018</v>
      </c>
      <c r="J164">
        <v>-7.6645161290322594</v>
      </c>
      <c r="K164">
        <v>0.33000000000000018</v>
      </c>
      <c r="L164">
        <v>-2.5292903225806471</v>
      </c>
    </row>
    <row r="165" spans="1:12">
      <c r="A165" s="212">
        <v>0.34000000000000019</v>
      </c>
      <c r="B165">
        <v>-8.5354838709677434</v>
      </c>
      <c r="C165">
        <v>0.34000000000000019</v>
      </c>
      <c r="D165">
        <v>-2.9020645161290344</v>
      </c>
      <c r="E165">
        <v>0.32200000000000017</v>
      </c>
      <c r="F165">
        <v>-9.1677419354838712</v>
      </c>
      <c r="G165">
        <v>0.32200000000000017</v>
      </c>
      <c r="H165">
        <v>-2.9520129032258082</v>
      </c>
      <c r="I165">
        <v>0.34000000000000019</v>
      </c>
      <c r="J165">
        <v>-7.6645161290322594</v>
      </c>
      <c r="K165">
        <v>0.34000000000000019</v>
      </c>
      <c r="L165">
        <v>-2.6059354838709696</v>
      </c>
    </row>
    <row r="166" spans="1:12">
      <c r="A166" s="212">
        <v>0.34100000000000019</v>
      </c>
      <c r="B166">
        <v>-8.5354838709677434</v>
      </c>
      <c r="C166">
        <v>0.34100000000000019</v>
      </c>
      <c r="D166">
        <v>-2.9106000000000023</v>
      </c>
      <c r="E166">
        <v>0.32300000000000018</v>
      </c>
      <c r="F166">
        <v>-9.1677419354838712</v>
      </c>
      <c r="G166">
        <v>0.32300000000000018</v>
      </c>
      <c r="H166">
        <v>-2.9611806451612921</v>
      </c>
      <c r="I166">
        <v>0.34100000000000019</v>
      </c>
      <c r="J166">
        <v>-7.6645161290322594</v>
      </c>
      <c r="K166">
        <v>0.34100000000000019</v>
      </c>
      <c r="L166">
        <v>-2.6136000000000021</v>
      </c>
    </row>
    <row r="167" spans="1:12">
      <c r="A167" s="212">
        <v>0.34200000000000019</v>
      </c>
      <c r="B167">
        <v>-8.5354838709677434</v>
      </c>
      <c r="C167">
        <v>0.34200000000000019</v>
      </c>
      <c r="D167">
        <v>-2.9191354838709698</v>
      </c>
      <c r="E167">
        <v>0.32400000000000018</v>
      </c>
      <c r="F167">
        <v>-9.1677419354838712</v>
      </c>
      <c r="G167">
        <v>0.32400000000000018</v>
      </c>
      <c r="H167">
        <v>-2.970348387096776</v>
      </c>
      <c r="I167">
        <v>0.34200000000000019</v>
      </c>
      <c r="J167">
        <v>-7.6645161290322594</v>
      </c>
      <c r="K167">
        <v>0.34200000000000019</v>
      </c>
      <c r="L167">
        <v>-2.6212645161290342</v>
      </c>
    </row>
    <row r="168" spans="1:12">
      <c r="A168" s="212">
        <v>0.34300000000000019</v>
      </c>
      <c r="B168">
        <v>-8.5354838709677434</v>
      </c>
      <c r="C168">
        <v>0.34300000000000019</v>
      </c>
      <c r="D168">
        <v>-2.9276709677419377</v>
      </c>
      <c r="E168">
        <v>0.32500000000000018</v>
      </c>
      <c r="F168">
        <v>-9.1677419354838712</v>
      </c>
      <c r="G168">
        <v>0.32500000000000018</v>
      </c>
      <c r="H168">
        <v>-2.9795161290322598</v>
      </c>
      <c r="I168">
        <v>0.34300000000000019</v>
      </c>
      <c r="J168">
        <v>-7.6645161290322594</v>
      </c>
      <c r="K168">
        <v>0.34300000000000019</v>
      </c>
      <c r="L168">
        <v>-2.6289290322580663</v>
      </c>
    </row>
    <row r="169" spans="1:12">
      <c r="A169" s="212">
        <v>0.34400000000000019</v>
      </c>
      <c r="B169">
        <v>-8.5354838709677434</v>
      </c>
      <c r="C169">
        <v>0.34400000000000019</v>
      </c>
      <c r="D169">
        <v>-2.9362064516129056</v>
      </c>
      <c r="E169">
        <v>0.32600000000000018</v>
      </c>
      <c r="F169">
        <v>-9.1677419354838712</v>
      </c>
      <c r="G169">
        <v>0.32600000000000018</v>
      </c>
      <c r="H169">
        <v>-2.9886838709677437</v>
      </c>
      <c r="I169">
        <v>0.34400000000000019</v>
      </c>
      <c r="J169">
        <v>-7.6645161290322594</v>
      </c>
      <c r="K169">
        <v>0.34400000000000019</v>
      </c>
      <c r="L169">
        <v>-2.6365935483870988</v>
      </c>
    </row>
    <row r="170" spans="1:12">
      <c r="A170" s="212">
        <v>0.3450000000000002</v>
      </c>
      <c r="B170">
        <v>-8.5354838709677434</v>
      </c>
      <c r="C170">
        <v>0.3450000000000002</v>
      </c>
      <c r="D170">
        <v>-2.9447419354838731</v>
      </c>
      <c r="E170">
        <v>0.32700000000000018</v>
      </c>
      <c r="F170">
        <v>-9.1677419354838712</v>
      </c>
      <c r="G170">
        <v>0.32700000000000018</v>
      </c>
      <c r="H170">
        <v>-2.9978516129032275</v>
      </c>
      <c r="I170">
        <v>0.3450000000000002</v>
      </c>
      <c r="J170">
        <v>-7.6645161290322594</v>
      </c>
      <c r="K170">
        <v>0.3450000000000002</v>
      </c>
      <c r="L170">
        <v>-2.6442580645161309</v>
      </c>
    </row>
    <row r="171" spans="1:12">
      <c r="A171" s="212">
        <v>0.3460000000000002</v>
      </c>
      <c r="B171">
        <v>-8.5354838709677434</v>
      </c>
      <c r="C171">
        <v>0.3460000000000002</v>
      </c>
      <c r="D171">
        <v>-2.953277419354841</v>
      </c>
      <c r="E171">
        <v>0.32800000000000018</v>
      </c>
      <c r="F171">
        <v>-9.1677419354838712</v>
      </c>
      <c r="G171">
        <v>0.32800000000000018</v>
      </c>
      <c r="H171">
        <v>-3.0070193548387114</v>
      </c>
      <c r="I171">
        <v>0.3460000000000002</v>
      </c>
      <c r="J171">
        <v>-7.6645161290322594</v>
      </c>
      <c r="K171">
        <v>0.3460000000000002</v>
      </c>
      <c r="L171">
        <v>-2.6519225806451634</v>
      </c>
    </row>
    <row r="172" spans="1:12">
      <c r="A172" s="212">
        <v>0.3470000000000002</v>
      </c>
      <c r="B172">
        <v>-8.5354838709677434</v>
      </c>
      <c r="C172">
        <v>0.3470000000000002</v>
      </c>
      <c r="D172">
        <v>-2.9618129032258085</v>
      </c>
      <c r="E172">
        <v>0.32900000000000018</v>
      </c>
      <c r="F172">
        <v>-9.1677419354838712</v>
      </c>
      <c r="G172">
        <v>0.32900000000000018</v>
      </c>
      <c r="H172">
        <v>-3.0161870967741953</v>
      </c>
      <c r="I172">
        <v>0.3470000000000002</v>
      </c>
      <c r="J172">
        <v>-7.6645161290322594</v>
      </c>
      <c r="K172">
        <v>0.3470000000000002</v>
      </c>
      <c r="L172">
        <v>-2.6595870967741955</v>
      </c>
    </row>
    <row r="173" spans="1:12">
      <c r="A173" s="212">
        <v>0.3480000000000002</v>
      </c>
      <c r="B173">
        <v>-8.5354838709677434</v>
      </c>
      <c r="C173">
        <v>0.3480000000000002</v>
      </c>
      <c r="D173">
        <v>-2.9703483870967764</v>
      </c>
      <c r="E173">
        <v>0.33000000000000018</v>
      </c>
      <c r="F173">
        <v>10.43225806451613</v>
      </c>
      <c r="G173">
        <v>0.33000000000000018</v>
      </c>
      <c r="H173">
        <v>-3.025354838709676</v>
      </c>
      <c r="I173">
        <v>0.3480000000000002</v>
      </c>
      <c r="J173">
        <v>-7.6645161290322594</v>
      </c>
      <c r="K173">
        <v>0.3480000000000002</v>
      </c>
      <c r="L173">
        <v>-2.667251612903228</v>
      </c>
    </row>
    <row r="174" spans="1:12">
      <c r="A174" s="212">
        <v>0.3490000000000002</v>
      </c>
      <c r="B174">
        <v>-8.5354838709677434</v>
      </c>
      <c r="C174">
        <v>0.3490000000000002</v>
      </c>
      <c r="D174">
        <v>-2.9788838709677443</v>
      </c>
      <c r="E174">
        <v>0.33100000000000018</v>
      </c>
      <c r="F174">
        <v>10.43225806451613</v>
      </c>
      <c r="G174">
        <v>0.33100000000000018</v>
      </c>
      <c r="H174">
        <v>-3.0149225806451598</v>
      </c>
      <c r="I174">
        <v>0.3490000000000002</v>
      </c>
      <c r="J174">
        <v>-7.6645161290322594</v>
      </c>
      <c r="K174">
        <v>0.3490000000000002</v>
      </c>
      <c r="L174">
        <v>-2.6749161290322601</v>
      </c>
    </row>
    <row r="175" spans="1:12">
      <c r="A175" s="212">
        <v>0.3500000000000002</v>
      </c>
      <c r="B175">
        <v>11.064516129032258</v>
      </c>
      <c r="C175">
        <v>0.3500000000000002</v>
      </c>
      <c r="D175">
        <v>-2.9874193548387074</v>
      </c>
      <c r="E175">
        <v>0.33200000000000018</v>
      </c>
      <c r="F175">
        <v>10.43225806451613</v>
      </c>
      <c r="G175">
        <v>0.33200000000000018</v>
      </c>
      <c r="H175">
        <v>-3.0044903225806436</v>
      </c>
      <c r="I175">
        <v>0.3500000000000002</v>
      </c>
      <c r="J175">
        <v>9.935483870967742</v>
      </c>
      <c r="K175">
        <v>0.3500000000000002</v>
      </c>
      <c r="L175">
        <v>-2.6825806451612886</v>
      </c>
    </row>
    <row r="176" spans="1:12">
      <c r="A176" s="212">
        <v>0.3510000000000002</v>
      </c>
      <c r="B176">
        <v>11.064516129032258</v>
      </c>
      <c r="C176">
        <v>0.3510000000000002</v>
      </c>
      <c r="D176">
        <v>-2.9763548387096752</v>
      </c>
      <c r="E176">
        <v>0.33300000000000018</v>
      </c>
      <c r="F176">
        <v>10.43225806451613</v>
      </c>
      <c r="G176">
        <v>0.33300000000000018</v>
      </c>
      <c r="H176">
        <v>-2.9940580645161274</v>
      </c>
      <c r="I176">
        <v>0.3510000000000002</v>
      </c>
      <c r="J176">
        <v>9.935483870967742</v>
      </c>
      <c r="K176">
        <v>0.3510000000000002</v>
      </c>
      <c r="L176">
        <v>-2.6726451612903208</v>
      </c>
    </row>
    <row r="177" spans="1:12">
      <c r="A177" s="212">
        <v>0.3520000000000002</v>
      </c>
      <c r="B177">
        <v>11.064516129032258</v>
      </c>
      <c r="C177">
        <v>0.3520000000000002</v>
      </c>
      <c r="D177">
        <v>-2.9652903225806431</v>
      </c>
      <c r="E177">
        <v>0.33400000000000019</v>
      </c>
      <c r="F177">
        <v>10.43225806451613</v>
      </c>
      <c r="G177">
        <v>0.33400000000000019</v>
      </c>
      <c r="H177">
        <v>-2.9836258064516112</v>
      </c>
      <c r="I177">
        <v>0.3520000000000002</v>
      </c>
      <c r="J177">
        <v>9.935483870967742</v>
      </c>
      <c r="K177">
        <v>0.3520000000000002</v>
      </c>
      <c r="L177">
        <v>-2.662709677419353</v>
      </c>
    </row>
    <row r="178" spans="1:12">
      <c r="A178" s="212">
        <v>0.3530000000000002</v>
      </c>
      <c r="B178">
        <v>11.064516129032258</v>
      </c>
      <c r="C178">
        <v>0.3530000000000002</v>
      </c>
      <c r="D178">
        <v>-2.9542258064516109</v>
      </c>
      <c r="E178">
        <v>0.33500000000000019</v>
      </c>
      <c r="F178">
        <v>10.43225806451613</v>
      </c>
      <c r="G178">
        <v>0.33500000000000019</v>
      </c>
      <c r="H178">
        <v>-2.973193548387095</v>
      </c>
      <c r="I178">
        <v>0.3530000000000002</v>
      </c>
      <c r="J178">
        <v>9.935483870967742</v>
      </c>
      <c r="K178">
        <v>0.3530000000000002</v>
      </c>
      <c r="L178">
        <v>-2.6527741935483853</v>
      </c>
    </row>
    <row r="179" spans="1:12">
      <c r="A179" s="212">
        <v>0.3540000000000002</v>
      </c>
      <c r="B179">
        <v>11.064516129032258</v>
      </c>
      <c r="C179">
        <v>0.3540000000000002</v>
      </c>
      <c r="D179">
        <v>-2.9431612903225783</v>
      </c>
      <c r="E179">
        <v>0.33600000000000019</v>
      </c>
      <c r="F179">
        <v>10.43225806451613</v>
      </c>
      <c r="G179">
        <v>0.33600000000000019</v>
      </c>
      <c r="H179">
        <v>-2.9627612903225788</v>
      </c>
      <c r="I179">
        <v>0.3540000000000002</v>
      </c>
      <c r="J179">
        <v>9.935483870967742</v>
      </c>
      <c r="K179">
        <v>0.3540000000000002</v>
      </c>
      <c r="L179">
        <v>-2.6428387096774175</v>
      </c>
    </row>
    <row r="180" spans="1:12">
      <c r="A180" s="212">
        <v>0.3550000000000002</v>
      </c>
      <c r="B180">
        <v>11.064516129032258</v>
      </c>
      <c r="C180">
        <v>0.3550000000000002</v>
      </c>
      <c r="D180">
        <v>-2.9320967741935462</v>
      </c>
      <c r="E180">
        <v>0.33700000000000019</v>
      </c>
      <c r="F180">
        <v>10.43225806451613</v>
      </c>
      <c r="G180">
        <v>0.33700000000000019</v>
      </c>
      <c r="H180">
        <v>-2.9523290322580631</v>
      </c>
      <c r="I180">
        <v>0.3550000000000002</v>
      </c>
      <c r="J180">
        <v>9.935483870967742</v>
      </c>
      <c r="K180">
        <v>0.3550000000000002</v>
      </c>
      <c r="L180">
        <v>-2.6329032258064498</v>
      </c>
    </row>
    <row r="181" spans="1:12">
      <c r="A181" s="212">
        <v>0.35600000000000021</v>
      </c>
      <c r="B181">
        <v>11.064516129032258</v>
      </c>
      <c r="C181">
        <v>0.35600000000000021</v>
      </c>
      <c r="D181">
        <v>-2.9210322580645141</v>
      </c>
      <c r="E181">
        <v>0.33800000000000019</v>
      </c>
      <c r="F181">
        <v>10.43225806451613</v>
      </c>
      <c r="G181">
        <v>0.33800000000000019</v>
      </c>
      <c r="H181">
        <v>-2.9418967741935469</v>
      </c>
      <c r="I181">
        <v>0.35600000000000021</v>
      </c>
      <c r="J181">
        <v>9.935483870967742</v>
      </c>
      <c r="K181">
        <v>0.35600000000000021</v>
      </c>
      <c r="L181">
        <v>-2.622967741935482</v>
      </c>
    </row>
    <row r="182" spans="1:12">
      <c r="A182" s="212">
        <v>0.35700000000000021</v>
      </c>
      <c r="B182">
        <v>11.064516129032258</v>
      </c>
      <c r="C182">
        <v>0.35700000000000021</v>
      </c>
      <c r="D182">
        <v>-2.9099677419354815</v>
      </c>
      <c r="E182">
        <v>0.33900000000000019</v>
      </c>
      <c r="F182">
        <v>10.43225806451613</v>
      </c>
      <c r="G182">
        <v>0.33900000000000019</v>
      </c>
      <c r="H182">
        <v>-2.9314645161290307</v>
      </c>
      <c r="I182">
        <v>0.35700000000000021</v>
      </c>
      <c r="J182">
        <v>9.935483870967742</v>
      </c>
      <c r="K182">
        <v>0.35700000000000021</v>
      </c>
      <c r="L182">
        <v>-2.6130322580645142</v>
      </c>
    </row>
    <row r="183" spans="1:12">
      <c r="A183" s="212">
        <v>0.35800000000000021</v>
      </c>
      <c r="B183">
        <v>11.064516129032258</v>
      </c>
      <c r="C183">
        <v>0.35800000000000021</v>
      </c>
      <c r="D183">
        <v>-2.8989032258064493</v>
      </c>
      <c r="E183">
        <v>0.34000000000000019</v>
      </c>
      <c r="F183">
        <v>10.43225806451613</v>
      </c>
      <c r="G183">
        <v>0.34000000000000019</v>
      </c>
      <c r="H183">
        <v>-2.9210322580645145</v>
      </c>
      <c r="I183">
        <v>0.35800000000000021</v>
      </c>
      <c r="J183">
        <v>9.935483870967742</v>
      </c>
      <c r="K183">
        <v>0.35800000000000021</v>
      </c>
      <c r="L183">
        <v>-2.6030967741935465</v>
      </c>
    </row>
    <row r="184" spans="1:12">
      <c r="A184" s="212">
        <v>0.35900000000000021</v>
      </c>
      <c r="B184">
        <v>11.064516129032258</v>
      </c>
      <c r="C184">
        <v>0.35900000000000021</v>
      </c>
      <c r="D184">
        <v>-2.8878387096774172</v>
      </c>
      <c r="E184">
        <v>0.3500000000000002</v>
      </c>
      <c r="F184">
        <v>10.43225806451613</v>
      </c>
      <c r="G184">
        <v>0.3500000000000002</v>
      </c>
      <c r="H184">
        <v>-2.816709677419353</v>
      </c>
      <c r="I184">
        <v>0.35900000000000021</v>
      </c>
      <c r="J184">
        <v>9.935483870967742</v>
      </c>
      <c r="K184">
        <v>0.35900000000000021</v>
      </c>
      <c r="L184">
        <v>-2.5931612903225787</v>
      </c>
    </row>
    <row r="185" spans="1:12">
      <c r="A185" s="212">
        <v>0.36000000000000021</v>
      </c>
      <c r="B185">
        <v>11.064516129032258</v>
      </c>
      <c r="C185">
        <v>0.36000000000000021</v>
      </c>
      <c r="D185">
        <v>-2.876774193548385</v>
      </c>
      <c r="E185">
        <v>0.36000000000000021</v>
      </c>
      <c r="F185">
        <v>10.43225806451613</v>
      </c>
      <c r="G185">
        <v>0.36000000000000021</v>
      </c>
      <c r="H185">
        <v>-2.7123870967741919</v>
      </c>
      <c r="I185">
        <v>0.36000000000000021</v>
      </c>
      <c r="J185">
        <v>9.935483870967742</v>
      </c>
      <c r="K185">
        <v>0.36000000000000021</v>
      </c>
      <c r="L185">
        <v>-2.5832258064516109</v>
      </c>
    </row>
    <row r="186" spans="1:12">
      <c r="A186" s="212">
        <v>0.37000000000000022</v>
      </c>
      <c r="B186">
        <v>11.064516129032258</v>
      </c>
      <c r="C186">
        <v>0.37000000000000022</v>
      </c>
      <c r="D186">
        <v>-2.7661290322580623</v>
      </c>
      <c r="E186">
        <v>0.37000000000000022</v>
      </c>
      <c r="F186">
        <v>10.43225806451613</v>
      </c>
      <c r="G186">
        <v>0.37000000000000022</v>
      </c>
      <c r="H186">
        <v>-2.6080645161290303</v>
      </c>
      <c r="I186">
        <v>0.37000000000000022</v>
      </c>
      <c r="J186">
        <v>9.935483870967742</v>
      </c>
      <c r="K186">
        <v>0.37000000000000022</v>
      </c>
      <c r="L186">
        <v>-2.4838709677419333</v>
      </c>
    </row>
    <row r="187" spans="1:12">
      <c r="A187" s="212">
        <v>0.38000000000000023</v>
      </c>
      <c r="B187">
        <v>11.064516129032258</v>
      </c>
      <c r="C187">
        <v>0.38000000000000023</v>
      </c>
      <c r="D187">
        <v>-2.6554838709677395</v>
      </c>
      <c r="E187">
        <v>0.38000000000000023</v>
      </c>
      <c r="F187">
        <v>10.43225806451613</v>
      </c>
      <c r="G187">
        <v>0.38000000000000023</v>
      </c>
      <c r="H187">
        <v>-2.5037419354838688</v>
      </c>
      <c r="I187">
        <v>0.38000000000000023</v>
      </c>
      <c r="J187">
        <v>9.935483870967742</v>
      </c>
      <c r="K187">
        <v>0.38000000000000023</v>
      </c>
      <c r="L187">
        <v>-2.3845161290322561</v>
      </c>
    </row>
    <row r="188" spans="1:12">
      <c r="A188" s="212">
        <v>0.39000000000000024</v>
      </c>
      <c r="B188">
        <v>11.064516129032258</v>
      </c>
      <c r="C188">
        <v>0.39000000000000024</v>
      </c>
      <c r="D188">
        <v>-2.5448387096774168</v>
      </c>
      <c r="E188">
        <v>0.39000000000000024</v>
      </c>
      <c r="F188">
        <v>10.43225806451613</v>
      </c>
      <c r="G188">
        <v>0.39000000000000024</v>
      </c>
      <c r="H188">
        <v>-2.3994193548387077</v>
      </c>
      <c r="I188">
        <v>0.39000000000000024</v>
      </c>
      <c r="J188">
        <v>9.935483870967742</v>
      </c>
      <c r="K188">
        <v>0.39000000000000024</v>
      </c>
      <c r="L188">
        <v>-2.2851612903225784</v>
      </c>
    </row>
    <row r="189" spans="1:12">
      <c r="A189" s="212">
        <v>0.40000000000000024</v>
      </c>
      <c r="B189">
        <v>11.064516129032258</v>
      </c>
      <c r="C189">
        <v>0.40000000000000024</v>
      </c>
      <c r="D189">
        <v>-2.434193548387094</v>
      </c>
      <c r="E189">
        <v>0.40000000000000024</v>
      </c>
      <c r="F189">
        <v>10.43225806451613</v>
      </c>
      <c r="G189">
        <v>0.40000000000000024</v>
      </c>
      <c r="H189">
        <v>-2.2950967741935462</v>
      </c>
      <c r="I189">
        <v>0.40000000000000024</v>
      </c>
      <c r="J189">
        <v>9.935483870967742</v>
      </c>
      <c r="K189">
        <v>0.40000000000000024</v>
      </c>
      <c r="L189">
        <v>-2.1858064516129008</v>
      </c>
    </row>
    <row r="190" spans="1:12">
      <c r="A190" s="212">
        <v>0.41000000000000025</v>
      </c>
      <c r="B190">
        <v>11.064516129032258</v>
      </c>
      <c r="C190">
        <v>0.41000000000000025</v>
      </c>
      <c r="D190">
        <v>-2.3235483870967717</v>
      </c>
      <c r="E190">
        <v>0.41000000000000025</v>
      </c>
      <c r="F190">
        <v>10.43225806451613</v>
      </c>
      <c r="G190">
        <v>0.41000000000000025</v>
      </c>
      <c r="H190">
        <v>-2.1907741935483847</v>
      </c>
      <c r="I190">
        <v>0.41000000000000025</v>
      </c>
      <c r="J190">
        <v>9.935483870967742</v>
      </c>
      <c r="K190">
        <v>0.41000000000000025</v>
      </c>
      <c r="L190">
        <v>-2.0864516129032236</v>
      </c>
    </row>
    <row r="191" spans="1:12">
      <c r="A191" s="212">
        <v>0.42000000000000026</v>
      </c>
      <c r="B191">
        <v>11.064516129032258</v>
      </c>
      <c r="C191">
        <v>0.42000000000000026</v>
      </c>
      <c r="D191">
        <v>-2.2129032258064489</v>
      </c>
      <c r="E191">
        <v>0.42000000000000026</v>
      </c>
      <c r="F191">
        <v>10.43225806451613</v>
      </c>
      <c r="G191">
        <v>0.42000000000000026</v>
      </c>
      <c r="H191">
        <v>-2.0864516129032231</v>
      </c>
      <c r="I191">
        <v>0.42000000000000026</v>
      </c>
      <c r="J191">
        <v>9.935483870967742</v>
      </c>
      <c r="K191">
        <v>0.42000000000000026</v>
      </c>
      <c r="L191">
        <v>-1.9870967741935459</v>
      </c>
    </row>
    <row r="192" spans="1:12">
      <c r="A192" s="212">
        <v>0.43000000000000027</v>
      </c>
      <c r="B192">
        <v>11.064516129032258</v>
      </c>
      <c r="C192">
        <v>0.43000000000000027</v>
      </c>
      <c r="D192">
        <v>-2.1022580645161262</v>
      </c>
      <c r="E192">
        <v>0.43000000000000027</v>
      </c>
      <c r="F192">
        <v>10.43225806451613</v>
      </c>
      <c r="G192">
        <v>0.43000000000000027</v>
      </c>
      <c r="H192">
        <v>-1.982129032258062</v>
      </c>
      <c r="I192">
        <v>0.43000000000000027</v>
      </c>
      <c r="J192">
        <v>9.935483870967742</v>
      </c>
      <c r="K192">
        <v>0.43000000000000027</v>
      </c>
      <c r="L192">
        <v>-1.8877419354838683</v>
      </c>
    </row>
    <row r="193" spans="1:12">
      <c r="A193" s="212">
        <v>0.44000000000000028</v>
      </c>
      <c r="B193">
        <v>11.064516129032258</v>
      </c>
      <c r="C193">
        <v>0.44000000000000028</v>
      </c>
      <c r="D193">
        <v>-1.9916129032258034</v>
      </c>
      <c r="E193">
        <v>0.44000000000000028</v>
      </c>
      <c r="F193">
        <v>10.43225806451613</v>
      </c>
      <c r="G193">
        <v>0.44000000000000028</v>
      </c>
      <c r="H193">
        <v>-1.8778064516129005</v>
      </c>
      <c r="I193">
        <v>0.44000000000000028</v>
      </c>
      <c r="J193">
        <v>9.935483870967742</v>
      </c>
      <c r="K193">
        <v>0.44000000000000028</v>
      </c>
      <c r="L193">
        <v>-1.7883870967741908</v>
      </c>
    </row>
    <row r="194" spans="1:12">
      <c r="A194" s="212">
        <v>0.45000000000000029</v>
      </c>
      <c r="B194">
        <v>11.064516129032258</v>
      </c>
      <c r="C194">
        <v>0.45000000000000029</v>
      </c>
      <c r="D194">
        <v>-1.8809677419354807</v>
      </c>
      <c r="E194">
        <v>0.45000000000000029</v>
      </c>
      <c r="F194">
        <v>10.43225806451613</v>
      </c>
      <c r="G194">
        <v>0.45000000000000029</v>
      </c>
      <c r="H194">
        <v>-1.7734838709677392</v>
      </c>
      <c r="I194">
        <v>0.45000000000000029</v>
      </c>
      <c r="J194">
        <v>9.935483870967742</v>
      </c>
      <c r="K194">
        <v>0.45000000000000029</v>
      </c>
      <c r="L194">
        <v>-1.6890322580645134</v>
      </c>
    </row>
    <row r="195" spans="1:12">
      <c r="A195" s="212">
        <v>0.4600000000000003</v>
      </c>
      <c r="B195">
        <v>11.064516129032258</v>
      </c>
      <c r="C195">
        <v>0.4600000000000003</v>
      </c>
      <c r="D195">
        <v>-1.7703225806451581</v>
      </c>
      <c r="E195">
        <v>0.4600000000000003</v>
      </c>
      <c r="F195">
        <v>10.43225806451613</v>
      </c>
      <c r="G195">
        <v>0.4600000000000003</v>
      </c>
      <c r="H195">
        <v>-1.6691612903225777</v>
      </c>
      <c r="I195">
        <v>0.4600000000000003</v>
      </c>
      <c r="J195">
        <v>9.935483870967742</v>
      </c>
      <c r="K195">
        <v>0.4600000000000003</v>
      </c>
      <c r="L195">
        <v>-1.5896774193548358</v>
      </c>
    </row>
    <row r="196" spans="1:12">
      <c r="A196" s="212">
        <v>0.47000000000000031</v>
      </c>
      <c r="B196">
        <v>11.064516129032258</v>
      </c>
      <c r="C196">
        <v>0.47000000000000031</v>
      </c>
      <c r="D196">
        <v>-1.6596774193548354</v>
      </c>
      <c r="E196">
        <v>0.47000000000000031</v>
      </c>
      <c r="F196">
        <v>10.43225806451613</v>
      </c>
      <c r="G196">
        <v>0.47000000000000031</v>
      </c>
      <c r="H196">
        <v>-1.5648387096774163</v>
      </c>
      <c r="I196">
        <v>0.47000000000000031</v>
      </c>
      <c r="J196">
        <v>9.935483870967742</v>
      </c>
      <c r="K196">
        <v>0.47000000000000031</v>
      </c>
      <c r="L196">
        <v>-1.4903225806451583</v>
      </c>
    </row>
    <row r="197" spans="1:12">
      <c r="A197" s="212">
        <v>0.48000000000000032</v>
      </c>
      <c r="B197">
        <v>11.064516129032258</v>
      </c>
      <c r="C197">
        <v>0.48000000000000032</v>
      </c>
      <c r="D197">
        <v>-1.5490322580645128</v>
      </c>
      <c r="E197">
        <v>0.48000000000000032</v>
      </c>
      <c r="F197">
        <v>10.43225806451613</v>
      </c>
      <c r="G197">
        <v>0.48000000000000032</v>
      </c>
      <c r="H197">
        <v>-1.460516129032255</v>
      </c>
      <c r="I197">
        <v>0.48000000000000032</v>
      </c>
      <c r="J197">
        <v>9.935483870967742</v>
      </c>
      <c r="K197">
        <v>0.48000000000000032</v>
      </c>
      <c r="L197">
        <v>-1.3909677419354809</v>
      </c>
    </row>
    <row r="198" spans="1:12">
      <c r="A198" s="212">
        <v>0.49000000000000032</v>
      </c>
      <c r="B198">
        <v>11.064516129032258</v>
      </c>
      <c r="C198">
        <v>0.49000000000000032</v>
      </c>
      <c r="D198">
        <v>-1.4383870967741901</v>
      </c>
      <c r="E198">
        <v>0.49000000000000032</v>
      </c>
      <c r="F198">
        <v>10.43225806451613</v>
      </c>
      <c r="G198">
        <v>0.49000000000000032</v>
      </c>
      <c r="H198">
        <v>-1.3561935483870935</v>
      </c>
      <c r="I198">
        <v>0.49000000000000032</v>
      </c>
      <c r="J198">
        <v>9.935483870967742</v>
      </c>
      <c r="K198">
        <v>0.49000000000000032</v>
      </c>
      <c r="L198">
        <v>-1.2916129032258032</v>
      </c>
    </row>
    <row r="199" spans="1:12">
      <c r="A199" s="212">
        <v>0.50000000000000033</v>
      </c>
      <c r="B199">
        <v>11.064516129032258</v>
      </c>
      <c r="C199">
        <v>0.50000000000000033</v>
      </c>
      <c r="D199">
        <v>-1.3277419354838673</v>
      </c>
      <c r="E199">
        <v>0.50000000000000033</v>
      </c>
      <c r="F199">
        <v>10.43225806451613</v>
      </c>
      <c r="G199">
        <v>0.50000000000000033</v>
      </c>
      <c r="H199">
        <v>-1.2518709677419322</v>
      </c>
      <c r="I199">
        <v>0.50000000000000033</v>
      </c>
      <c r="J199">
        <v>9.935483870967742</v>
      </c>
      <c r="K199">
        <v>0.50000000000000033</v>
      </c>
      <c r="L199">
        <v>-1.1922580645161258</v>
      </c>
    </row>
    <row r="200" spans="1:12">
      <c r="A200" s="212">
        <v>0.51000000000000034</v>
      </c>
      <c r="B200">
        <v>11.064516129032258</v>
      </c>
      <c r="C200">
        <v>0.51000000000000034</v>
      </c>
      <c r="D200">
        <v>-1.2170967741935448</v>
      </c>
      <c r="E200">
        <v>0.51000000000000034</v>
      </c>
      <c r="F200">
        <v>10.43225806451613</v>
      </c>
      <c r="G200">
        <v>0.51000000000000034</v>
      </c>
      <c r="H200">
        <v>-1.1475483870967709</v>
      </c>
      <c r="I200">
        <v>0.51000000000000034</v>
      </c>
      <c r="J200">
        <v>9.935483870967742</v>
      </c>
      <c r="K200">
        <v>0.51000000000000034</v>
      </c>
      <c r="L200">
        <v>-1.0929032258064484</v>
      </c>
    </row>
    <row r="201" spans="1:12">
      <c r="A201" s="212">
        <v>0.52000000000000035</v>
      </c>
      <c r="B201">
        <v>11.064516129032258</v>
      </c>
      <c r="C201">
        <v>0.52000000000000035</v>
      </c>
      <c r="D201">
        <v>-1.106451612903222</v>
      </c>
      <c r="E201">
        <v>0.52000000000000035</v>
      </c>
      <c r="F201">
        <v>10.43225806451613</v>
      </c>
      <c r="G201">
        <v>0.52000000000000035</v>
      </c>
      <c r="H201">
        <v>-1.0432258064516093</v>
      </c>
      <c r="I201">
        <v>0.52000000000000035</v>
      </c>
      <c r="J201">
        <v>9.935483870967742</v>
      </c>
      <c r="K201">
        <v>0.52000000000000035</v>
      </c>
      <c r="L201">
        <v>-0.99354838709677074</v>
      </c>
    </row>
    <row r="202" spans="1:12">
      <c r="A202" s="212">
        <v>0.53000000000000036</v>
      </c>
      <c r="B202">
        <v>11.064516129032258</v>
      </c>
      <c r="C202">
        <v>0.53000000000000036</v>
      </c>
      <c r="D202">
        <v>-0.99580645161289938</v>
      </c>
      <c r="E202">
        <v>0.53000000000000036</v>
      </c>
      <c r="F202">
        <v>10.43225806451613</v>
      </c>
      <c r="G202">
        <v>0.53000000000000036</v>
      </c>
      <c r="H202">
        <v>-0.93890322580644803</v>
      </c>
      <c r="I202">
        <v>0.53000000000000036</v>
      </c>
      <c r="J202">
        <v>9.935483870967742</v>
      </c>
      <c r="K202">
        <v>0.53000000000000036</v>
      </c>
      <c r="L202">
        <v>-0.89419354838709331</v>
      </c>
    </row>
    <row r="203" spans="1:12">
      <c r="A203" s="212">
        <v>0.54000000000000037</v>
      </c>
      <c r="B203">
        <v>11.064516129032258</v>
      </c>
      <c r="C203">
        <v>0.54000000000000037</v>
      </c>
      <c r="D203">
        <v>-0.88516129032257662</v>
      </c>
      <c r="E203">
        <v>0.54000000000000037</v>
      </c>
      <c r="F203">
        <v>10.43225806451613</v>
      </c>
      <c r="G203">
        <v>0.54000000000000037</v>
      </c>
      <c r="H203">
        <v>-0.83458064516128661</v>
      </c>
      <c r="I203">
        <v>0.54000000000000037</v>
      </c>
      <c r="J203">
        <v>9.935483870967742</v>
      </c>
      <c r="K203">
        <v>0.54000000000000037</v>
      </c>
      <c r="L203">
        <v>-0.79483870967741577</v>
      </c>
    </row>
    <row r="204" spans="1:12">
      <c r="A204" s="212">
        <v>0.55000000000000038</v>
      </c>
      <c r="B204">
        <v>11.064516129032258</v>
      </c>
      <c r="C204">
        <v>0.55000000000000038</v>
      </c>
      <c r="D204">
        <v>-0.77451612903225397</v>
      </c>
      <c r="E204">
        <v>0.55000000000000038</v>
      </c>
      <c r="F204">
        <v>10.43225806451613</v>
      </c>
      <c r="G204">
        <v>0.55000000000000038</v>
      </c>
      <c r="H204">
        <v>-0.73025806451612518</v>
      </c>
      <c r="I204">
        <v>0.55000000000000038</v>
      </c>
      <c r="J204">
        <v>9.935483870967742</v>
      </c>
      <c r="K204">
        <v>0.55000000000000038</v>
      </c>
      <c r="L204">
        <v>-0.69548387096773823</v>
      </c>
    </row>
    <row r="205" spans="1:12">
      <c r="A205" s="212">
        <v>0.56000000000000039</v>
      </c>
      <c r="B205">
        <v>11.064516129032258</v>
      </c>
      <c r="C205">
        <v>0.56000000000000039</v>
      </c>
      <c r="D205">
        <v>-0.66387096774193133</v>
      </c>
      <c r="E205">
        <v>0.56000000000000039</v>
      </c>
      <c r="F205">
        <v>10.43225806451613</v>
      </c>
      <c r="G205">
        <v>0.56000000000000039</v>
      </c>
      <c r="H205">
        <v>-0.62593548387096376</v>
      </c>
      <c r="I205">
        <v>0.56000000000000039</v>
      </c>
      <c r="J205">
        <v>9.935483870967742</v>
      </c>
      <c r="K205">
        <v>0.56000000000000039</v>
      </c>
      <c r="L205">
        <v>-0.5961290322580608</v>
      </c>
    </row>
    <row r="206" spans="1:12">
      <c r="A206" s="212">
        <v>0.5700000000000004</v>
      </c>
      <c r="B206">
        <v>11.064516129032258</v>
      </c>
      <c r="C206">
        <v>0.5700000000000004</v>
      </c>
      <c r="D206">
        <v>-0.55322580645160857</v>
      </c>
      <c r="E206">
        <v>0.5700000000000004</v>
      </c>
      <c r="F206">
        <v>10.43225806451613</v>
      </c>
      <c r="G206">
        <v>0.5700000000000004</v>
      </c>
      <c r="H206">
        <v>-0.52161290322580245</v>
      </c>
      <c r="I206">
        <v>0.5700000000000004</v>
      </c>
      <c r="J206">
        <v>9.935483870967742</v>
      </c>
      <c r="K206">
        <v>0.5700000000000004</v>
      </c>
      <c r="L206">
        <v>-0.49677419354838326</v>
      </c>
    </row>
    <row r="207" spans="1:12">
      <c r="A207" s="212">
        <v>0.5800000000000004</v>
      </c>
      <c r="B207">
        <v>11.064516129032258</v>
      </c>
      <c r="C207">
        <v>0.5800000000000004</v>
      </c>
      <c r="D207">
        <v>-0.44258064516128592</v>
      </c>
      <c r="E207">
        <v>0.5800000000000004</v>
      </c>
      <c r="F207">
        <v>10.43225806451613</v>
      </c>
      <c r="G207">
        <v>0.5800000000000004</v>
      </c>
      <c r="H207">
        <v>-0.41729032258064103</v>
      </c>
      <c r="I207">
        <v>0.5800000000000004</v>
      </c>
      <c r="J207">
        <v>9.935483870967742</v>
      </c>
      <c r="K207">
        <v>0.5800000000000004</v>
      </c>
      <c r="L207">
        <v>-0.39741935483870572</v>
      </c>
    </row>
    <row r="208" spans="1:12">
      <c r="A208" s="212">
        <v>0.59000000000000041</v>
      </c>
      <c r="B208">
        <v>11.064516129032258</v>
      </c>
      <c r="C208">
        <v>0.59000000000000041</v>
      </c>
      <c r="D208">
        <v>-0.33193548387096328</v>
      </c>
      <c r="E208">
        <v>0.59000000000000041</v>
      </c>
      <c r="F208">
        <v>10.43225806451613</v>
      </c>
      <c r="G208">
        <v>0.59000000000000041</v>
      </c>
      <c r="H208">
        <v>-0.3129677419354796</v>
      </c>
      <c r="I208">
        <v>0.59000000000000041</v>
      </c>
      <c r="J208">
        <v>9.935483870967742</v>
      </c>
      <c r="K208">
        <v>0.59000000000000041</v>
      </c>
      <c r="L208">
        <v>-0.29806451612902823</v>
      </c>
    </row>
    <row r="209" spans="1:12">
      <c r="A209" s="212">
        <v>0.60000000000000042</v>
      </c>
      <c r="B209">
        <v>11.064516129032258</v>
      </c>
      <c r="C209">
        <v>0.60000000000000042</v>
      </c>
      <c r="D209">
        <v>-0.2212903225806406</v>
      </c>
      <c r="E209">
        <v>0.60000000000000042</v>
      </c>
      <c r="F209">
        <v>10.43225806451613</v>
      </c>
      <c r="G209">
        <v>0.60000000000000042</v>
      </c>
      <c r="H209">
        <v>-0.20864516129031824</v>
      </c>
      <c r="I209">
        <v>0.60000000000000042</v>
      </c>
      <c r="J209">
        <v>9.935483870967742</v>
      </c>
      <c r="K209">
        <v>0.60000000000000042</v>
      </c>
      <c r="L209">
        <v>-0.19870967741935072</v>
      </c>
    </row>
    <row r="210" spans="1:12">
      <c r="A210" s="212">
        <v>0.60100000000000042</v>
      </c>
      <c r="B210">
        <v>11.064516129032258</v>
      </c>
      <c r="C210">
        <v>0.60100000000000042</v>
      </c>
      <c r="D210">
        <v>-0.21022580645160832</v>
      </c>
      <c r="E210">
        <v>0.60100000000000042</v>
      </c>
      <c r="F210">
        <v>10.43225806451613</v>
      </c>
      <c r="G210">
        <v>0.60100000000000042</v>
      </c>
      <c r="H210">
        <v>-0.1982129032258021</v>
      </c>
      <c r="I210">
        <v>0.60100000000000042</v>
      </c>
      <c r="J210">
        <v>9.935483870967742</v>
      </c>
      <c r="K210">
        <v>0.60100000000000042</v>
      </c>
      <c r="L210">
        <v>-0.18877419354838296</v>
      </c>
    </row>
    <row r="211" spans="1:12">
      <c r="A211" s="212">
        <v>0.60200000000000042</v>
      </c>
      <c r="B211">
        <v>11.064516129032258</v>
      </c>
      <c r="C211">
        <v>0.60200000000000042</v>
      </c>
      <c r="D211">
        <v>-0.19916129032257607</v>
      </c>
      <c r="E211">
        <v>0.60200000000000042</v>
      </c>
      <c r="F211">
        <v>10.43225806451613</v>
      </c>
      <c r="G211">
        <v>0.60200000000000042</v>
      </c>
      <c r="H211">
        <v>-0.18778064516128595</v>
      </c>
      <c r="I211">
        <v>0.60200000000000042</v>
      </c>
      <c r="J211">
        <v>9.935483870967742</v>
      </c>
      <c r="K211">
        <v>0.60200000000000042</v>
      </c>
      <c r="L211">
        <v>-0.17883870967741522</v>
      </c>
    </row>
    <row r="212" spans="1:12">
      <c r="A212" s="212">
        <v>0.60300000000000042</v>
      </c>
      <c r="B212">
        <v>11.064516129032258</v>
      </c>
      <c r="C212">
        <v>0.60300000000000042</v>
      </c>
      <c r="D212">
        <v>-0.18809677419354379</v>
      </c>
      <c r="E212">
        <v>0.60300000000000042</v>
      </c>
      <c r="F212">
        <v>10.43225806451613</v>
      </c>
      <c r="G212">
        <v>0.60300000000000042</v>
      </c>
      <c r="H212">
        <v>-0.17734838709676981</v>
      </c>
      <c r="I212">
        <v>0.60300000000000042</v>
      </c>
      <c r="J212">
        <v>9.935483870967742</v>
      </c>
      <c r="K212">
        <v>0.60300000000000042</v>
      </c>
      <c r="L212">
        <v>-0.16890322580644745</v>
      </c>
    </row>
    <row r="213" spans="1:12">
      <c r="A213" s="212">
        <v>0.60400000000000043</v>
      </c>
      <c r="B213">
        <v>11.064516129032258</v>
      </c>
      <c r="C213">
        <v>0.60400000000000043</v>
      </c>
      <c r="D213">
        <v>-0.17703225806451151</v>
      </c>
      <c r="E213">
        <v>0.60400000000000043</v>
      </c>
      <c r="F213">
        <v>10.43225806451613</v>
      </c>
      <c r="G213">
        <v>0.60400000000000043</v>
      </c>
      <c r="H213">
        <v>-0.16691612903225367</v>
      </c>
      <c r="I213">
        <v>0.60400000000000043</v>
      </c>
      <c r="J213">
        <v>9.935483870967742</v>
      </c>
      <c r="K213">
        <v>0.60400000000000043</v>
      </c>
      <c r="L213">
        <v>-0.15896774193547972</v>
      </c>
    </row>
    <row r="214" spans="1:12">
      <c r="A214" s="212">
        <v>0.60500000000000043</v>
      </c>
      <c r="B214">
        <v>11.064516129032258</v>
      </c>
      <c r="C214">
        <v>0.60500000000000043</v>
      </c>
      <c r="D214">
        <v>-0.16596774193547925</v>
      </c>
      <c r="E214">
        <v>0.60500000000000043</v>
      </c>
      <c r="F214">
        <v>10.43225806451613</v>
      </c>
      <c r="G214">
        <v>0.60500000000000043</v>
      </c>
      <c r="H214">
        <v>-0.15648387096773753</v>
      </c>
      <c r="I214">
        <v>0.60500000000000043</v>
      </c>
      <c r="J214">
        <v>9.935483870967742</v>
      </c>
      <c r="K214">
        <v>0.60500000000000043</v>
      </c>
      <c r="L214">
        <v>-0.14903225806451195</v>
      </c>
    </row>
    <row r="215" spans="1:12">
      <c r="A215" s="212">
        <v>0.60600000000000043</v>
      </c>
      <c r="B215">
        <v>11.064516129032258</v>
      </c>
      <c r="C215">
        <v>0.60600000000000043</v>
      </c>
      <c r="D215">
        <v>-0.15490322580644697</v>
      </c>
      <c r="E215">
        <v>0.60600000000000043</v>
      </c>
      <c r="F215">
        <v>10.43225806451613</v>
      </c>
      <c r="G215">
        <v>0.60600000000000043</v>
      </c>
      <c r="H215">
        <v>-0.14605161290322138</v>
      </c>
      <c r="I215">
        <v>0.60600000000000043</v>
      </c>
      <c r="J215">
        <v>9.935483870967742</v>
      </c>
      <c r="K215">
        <v>0.60600000000000043</v>
      </c>
      <c r="L215">
        <v>-0.13909677419354421</v>
      </c>
    </row>
    <row r="216" spans="1:12">
      <c r="A216" s="212">
        <v>0.60700000000000043</v>
      </c>
      <c r="B216">
        <v>11.064516129032258</v>
      </c>
      <c r="C216">
        <v>0.60700000000000043</v>
      </c>
      <c r="D216">
        <v>-0.14383870967741472</v>
      </c>
      <c r="E216">
        <v>0.60700000000000043</v>
      </c>
      <c r="F216">
        <v>10.43225806451613</v>
      </c>
      <c r="G216">
        <v>0.60700000000000043</v>
      </c>
      <c r="H216">
        <v>-0.13561935483870524</v>
      </c>
      <c r="I216">
        <v>0.60700000000000043</v>
      </c>
      <c r="J216">
        <v>9.935483870967742</v>
      </c>
      <c r="K216">
        <v>0.60700000000000043</v>
      </c>
      <c r="L216">
        <v>-0.12916129032257645</v>
      </c>
    </row>
    <row r="217" spans="1:12">
      <c r="A217" s="212">
        <v>0.60800000000000043</v>
      </c>
      <c r="B217">
        <v>11.064516129032258</v>
      </c>
      <c r="C217">
        <v>0.60800000000000043</v>
      </c>
      <c r="D217">
        <v>-0.13277419354838244</v>
      </c>
      <c r="E217">
        <v>0.60800000000000043</v>
      </c>
      <c r="F217">
        <v>10.43225806451613</v>
      </c>
      <c r="G217">
        <v>0.60800000000000043</v>
      </c>
      <c r="H217">
        <v>-0.1251870967741891</v>
      </c>
      <c r="I217">
        <v>0.60800000000000043</v>
      </c>
      <c r="J217">
        <v>9.935483870967742</v>
      </c>
      <c r="K217">
        <v>0.60800000000000043</v>
      </c>
      <c r="L217">
        <v>-0.11922580645160871</v>
      </c>
    </row>
    <row r="218" spans="1:12">
      <c r="A218" s="212">
        <v>0.60900000000000043</v>
      </c>
      <c r="B218">
        <v>11.064516129032258</v>
      </c>
      <c r="C218">
        <v>0.60900000000000043</v>
      </c>
      <c r="D218">
        <v>-0.12170967741935018</v>
      </c>
      <c r="E218">
        <v>0.60900000000000043</v>
      </c>
      <c r="F218">
        <v>10.43225806451613</v>
      </c>
      <c r="G218">
        <v>0.60900000000000043</v>
      </c>
      <c r="H218">
        <v>-0.11475483870967297</v>
      </c>
      <c r="I218">
        <v>0.60900000000000043</v>
      </c>
      <c r="J218">
        <v>9.935483870967742</v>
      </c>
      <c r="K218">
        <v>0.60900000000000043</v>
      </c>
      <c r="L218">
        <v>-0.10929032258064096</v>
      </c>
    </row>
    <row r="219" spans="1:12">
      <c r="A219" s="212">
        <v>0.61000000000000043</v>
      </c>
      <c r="B219">
        <v>11.064516129032258</v>
      </c>
      <c r="C219">
        <v>0.61000000000000043</v>
      </c>
      <c r="D219">
        <v>-0.11064516129031791</v>
      </c>
      <c r="E219">
        <v>0.61000000000000043</v>
      </c>
      <c r="F219">
        <v>10.43225806451613</v>
      </c>
      <c r="G219">
        <v>0.61000000000000043</v>
      </c>
      <c r="H219">
        <v>-0.10432258064515683</v>
      </c>
      <c r="I219">
        <v>0.61000000000000043</v>
      </c>
      <c r="J219">
        <v>9.935483870967742</v>
      </c>
      <c r="K219">
        <v>0.61000000000000043</v>
      </c>
      <c r="L219">
        <v>-9.935483870967321E-2</v>
      </c>
    </row>
    <row r="220" spans="1:12">
      <c r="A220" s="212">
        <v>0.61100000000000043</v>
      </c>
      <c r="B220">
        <v>11.064516129032258</v>
      </c>
      <c r="C220">
        <v>0.61100000000000043</v>
      </c>
      <c r="D220">
        <v>-9.9580645161285647E-2</v>
      </c>
      <c r="E220">
        <v>0.61100000000000043</v>
      </c>
      <c r="F220">
        <v>10.43225806451613</v>
      </c>
      <c r="G220">
        <v>0.61100000000000043</v>
      </c>
      <c r="H220">
        <v>-9.3890322580640687E-2</v>
      </c>
      <c r="I220">
        <v>0.61100000000000043</v>
      </c>
      <c r="J220">
        <v>9.935483870967742</v>
      </c>
      <c r="K220">
        <v>0.61100000000000043</v>
      </c>
      <c r="L220">
        <v>-8.9419354838705459E-2</v>
      </c>
    </row>
    <row r="221" spans="1:12">
      <c r="A221" s="212">
        <v>0.61200000000000043</v>
      </c>
      <c r="B221">
        <v>11.064516129032258</v>
      </c>
      <c r="C221">
        <v>0.61200000000000043</v>
      </c>
      <c r="D221">
        <v>-8.8516129032253379E-2</v>
      </c>
      <c r="E221">
        <v>0.61200000000000043</v>
      </c>
      <c r="F221">
        <v>10.43225806451613</v>
      </c>
      <c r="G221">
        <v>0.61200000000000043</v>
      </c>
      <c r="H221">
        <v>-8.3458064516124544E-2</v>
      </c>
      <c r="I221">
        <v>0.61200000000000043</v>
      </c>
      <c r="J221">
        <v>9.935483870967742</v>
      </c>
      <c r="K221">
        <v>0.61200000000000043</v>
      </c>
      <c r="L221">
        <v>-7.9483870967737708E-2</v>
      </c>
    </row>
    <row r="222" spans="1:12">
      <c r="A222" s="212">
        <v>0.61300000000000043</v>
      </c>
      <c r="B222">
        <v>11.064516129032258</v>
      </c>
      <c r="C222">
        <v>0.61300000000000043</v>
      </c>
      <c r="D222">
        <v>-7.7451612903221112E-2</v>
      </c>
      <c r="E222">
        <v>0.61300000000000043</v>
      </c>
      <c r="F222">
        <v>10.43225806451613</v>
      </c>
      <c r="G222">
        <v>0.61300000000000043</v>
      </c>
      <c r="H222">
        <v>-7.3025806451608416E-2</v>
      </c>
      <c r="I222">
        <v>0.61300000000000043</v>
      </c>
      <c r="J222">
        <v>9.935483870967742</v>
      </c>
      <c r="K222">
        <v>0.61300000000000043</v>
      </c>
      <c r="L222">
        <v>-6.9548387096769956E-2</v>
      </c>
    </row>
    <row r="223" spans="1:12">
      <c r="A223" s="212">
        <v>0.61400000000000043</v>
      </c>
      <c r="B223">
        <v>11.064516129032258</v>
      </c>
      <c r="C223">
        <v>0.61400000000000043</v>
      </c>
      <c r="D223">
        <v>-6.6387096774188845E-2</v>
      </c>
      <c r="E223">
        <v>0.61400000000000043</v>
      </c>
      <c r="F223">
        <v>10.43225806451613</v>
      </c>
      <c r="G223">
        <v>0.61400000000000043</v>
      </c>
      <c r="H223">
        <v>-6.2593548387092274E-2</v>
      </c>
      <c r="I223">
        <v>0.61400000000000043</v>
      </c>
      <c r="J223">
        <v>9.935483870967742</v>
      </c>
      <c r="K223">
        <v>0.61400000000000043</v>
      </c>
      <c r="L223">
        <v>-5.9612903225802205E-2</v>
      </c>
    </row>
    <row r="224" spans="1:12">
      <c r="A224" s="212">
        <v>0.61500000000000044</v>
      </c>
      <c r="B224">
        <v>11.064516129032258</v>
      </c>
      <c r="C224">
        <v>0.61500000000000044</v>
      </c>
      <c r="D224">
        <v>-5.532258064515657E-2</v>
      </c>
      <c r="E224">
        <v>0.61500000000000044</v>
      </c>
      <c r="F224">
        <v>10.43225806451613</v>
      </c>
      <c r="G224">
        <v>0.61500000000000044</v>
      </c>
      <c r="H224">
        <v>-5.2161290322576132E-2</v>
      </c>
      <c r="I224">
        <v>0.61500000000000044</v>
      </c>
      <c r="J224">
        <v>9.935483870967742</v>
      </c>
      <c r="K224">
        <v>0.61500000000000044</v>
      </c>
      <c r="L224">
        <v>-4.9677419354834454E-2</v>
      </c>
    </row>
    <row r="225" spans="1:12">
      <c r="A225" s="212">
        <v>0.61600000000000044</v>
      </c>
      <c r="B225">
        <v>11.064516129032258</v>
      </c>
      <c r="C225">
        <v>0.61600000000000044</v>
      </c>
      <c r="D225">
        <v>-4.4258064516124303E-2</v>
      </c>
      <c r="E225">
        <v>0.61600000000000044</v>
      </c>
      <c r="F225">
        <v>10.43225806451613</v>
      </c>
      <c r="G225">
        <v>0.61600000000000044</v>
      </c>
      <c r="H225">
        <v>-4.1729032258059989E-2</v>
      </c>
      <c r="I225">
        <v>0.61600000000000044</v>
      </c>
      <c r="J225">
        <v>9.935483870967742</v>
      </c>
      <c r="K225">
        <v>0.61600000000000044</v>
      </c>
      <c r="L225">
        <v>-3.9741935483866703E-2</v>
      </c>
    </row>
    <row r="226" spans="1:12">
      <c r="A226" s="212">
        <v>0.61700000000000044</v>
      </c>
      <c r="B226">
        <v>11.064516129032258</v>
      </c>
      <c r="C226">
        <v>0.61700000000000044</v>
      </c>
      <c r="D226">
        <v>-3.3193548387092035E-2</v>
      </c>
      <c r="E226">
        <v>0.61700000000000044</v>
      </c>
      <c r="F226">
        <v>10.43225806451613</v>
      </c>
      <c r="G226">
        <v>0.61700000000000044</v>
      </c>
      <c r="H226">
        <v>-3.1296774193543854E-2</v>
      </c>
      <c r="I226">
        <v>0.61700000000000044</v>
      </c>
      <c r="J226">
        <v>9.935483870967742</v>
      </c>
      <c r="K226">
        <v>0.61700000000000044</v>
      </c>
      <c r="L226">
        <v>-2.9806451612898955E-2</v>
      </c>
    </row>
    <row r="227" spans="1:12">
      <c r="A227" s="212">
        <v>0.61800000000000044</v>
      </c>
      <c r="B227">
        <v>11.064516129032258</v>
      </c>
      <c r="C227">
        <v>0.61800000000000044</v>
      </c>
      <c r="D227">
        <v>-2.2129032258059768E-2</v>
      </c>
      <c r="E227">
        <v>0.61800000000000044</v>
      </c>
      <c r="F227">
        <v>10.43225806451613</v>
      </c>
      <c r="G227">
        <v>0.61800000000000044</v>
      </c>
      <c r="H227">
        <v>-2.0864516129027712E-2</v>
      </c>
      <c r="I227">
        <v>0.61800000000000044</v>
      </c>
      <c r="J227">
        <v>9.935483870967742</v>
      </c>
      <c r="K227">
        <v>0.61800000000000044</v>
      </c>
      <c r="L227">
        <v>-1.9870967741931204E-2</v>
      </c>
    </row>
    <row r="228" spans="1:12">
      <c r="A228" s="212">
        <v>0.61900000000000044</v>
      </c>
      <c r="B228">
        <v>11.064516129032258</v>
      </c>
      <c r="C228">
        <v>0.61900000000000044</v>
      </c>
      <c r="D228">
        <v>-1.10645161290275E-2</v>
      </c>
      <c r="E228">
        <v>0.61900000000000044</v>
      </c>
      <c r="F228">
        <v>10.43225806451613</v>
      </c>
      <c r="G228">
        <v>0.61900000000000044</v>
      </c>
      <c r="H228">
        <v>-1.0432258064511573E-2</v>
      </c>
      <c r="I228">
        <v>0.61900000000000044</v>
      </c>
      <c r="J228">
        <v>9.935483870967742</v>
      </c>
      <c r="K228">
        <v>0.61900000000000044</v>
      </c>
      <c r="L228">
        <v>-9.9354838709634543E-3</v>
      </c>
    </row>
    <row r="229" spans="1:12">
      <c r="A229" s="212">
        <v>0.62000000000000044</v>
      </c>
      <c r="B229">
        <v>0</v>
      </c>
      <c r="C229">
        <v>0.62000000000000044</v>
      </c>
      <c r="D229">
        <v>0</v>
      </c>
      <c r="E229">
        <v>0.62000000000000044</v>
      </c>
      <c r="F229">
        <v>0</v>
      </c>
      <c r="G229">
        <v>0.62000000000000044</v>
      </c>
      <c r="H229">
        <v>0</v>
      </c>
      <c r="I229">
        <v>0.62000000000000044</v>
      </c>
      <c r="J229">
        <v>0</v>
      </c>
      <c r="K229">
        <v>0.62000000000000044</v>
      </c>
      <c r="L229">
        <v>4.2969100499945512E-15</v>
      </c>
    </row>
  </sheetData>
  <mergeCells count="11">
    <mergeCell ref="A57:D57"/>
    <mergeCell ref="E57:H57"/>
    <mergeCell ref="I57:L57"/>
    <mergeCell ref="A34:D34"/>
    <mergeCell ref="E34:H34"/>
    <mergeCell ref="I34:L34"/>
    <mergeCell ref="A1:B1"/>
    <mergeCell ref="B3:B4"/>
    <mergeCell ref="D3:J4"/>
    <mergeCell ref="M34:P34"/>
    <mergeCell ref="B29:F29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autoPict="0" r:id="rId5">
            <anchor moveWithCells="1">
              <from>
                <xdr:col>1</xdr:col>
                <xdr:colOff>95250</xdr:colOff>
                <xdr:row>29</xdr:row>
                <xdr:rowOff>123825</xdr:rowOff>
              </from>
              <to>
                <xdr:col>2</xdr:col>
                <xdr:colOff>933450</xdr:colOff>
                <xdr:row>31</xdr:row>
                <xdr:rowOff>209550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4"/>
  <sheetViews>
    <sheetView workbookViewId="0">
      <selection activeCell="C16" sqref="C16"/>
    </sheetView>
  </sheetViews>
  <sheetFormatPr defaultColWidth="8.875" defaultRowHeight="18.75"/>
  <cols>
    <col min="1" max="1" width="26" customWidth="1"/>
    <col min="2" max="2" width="17.875" customWidth="1"/>
    <col min="3" max="3" width="18.25" customWidth="1"/>
    <col min="4" max="4" width="19.25" customWidth="1"/>
    <col min="5" max="5" width="18.75" customWidth="1"/>
  </cols>
  <sheetData>
    <row r="1" spans="1:10">
      <c r="A1" s="79" t="s">
        <v>144</v>
      </c>
    </row>
    <row r="3" spans="1:10">
      <c r="B3" s="164" t="s">
        <v>55</v>
      </c>
      <c r="C3" s="48" t="s">
        <v>56</v>
      </c>
      <c r="D3" s="180" t="s">
        <v>107</v>
      </c>
      <c r="E3" s="181"/>
      <c r="F3" s="181"/>
      <c r="G3" s="181"/>
      <c r="H3" s="181"/>
      <c r="I3" s="181"/>
      <c r="J3" s="181"/>
    </row>
    <row r="4" spans="1:10">
      <c r="B4" s="164"/>
      <c r="C4" s="37" t="s">
        <v>63</v>
      </c>
      <c r="D4" s="181"/>
      <c r="E4" s="181"/>
      <c r="F4" s="181"/>
      <c r="G4" s="181"/>
      <c r="H4" s="181"/>
      <c r="I4" s="181"/>
      <c r="J4" s="181"/>
    </row>
    <row r="6" spans="1:10">
      <c r="A6" s="78" t="s">
        <v>108</v>
      </c>
    </row>
    <row r="7" spans="1:10" ht="20.25" thickBot="1">
      <c r="B7" s="27" t="s">
        <v>34</v>
      </c>
      <c r="C7" s="25" t="s">
        <v>38</v>
      </c>
      <c r="D7" s="25" t="s">
        <v>39</v>
      </c>
      <c r="E7" s="25" t="s">
        <v>40</v>
      </c>
    </row>
    <row r="8" spans="1:10" ht="20.25" thickTop="1">
      <c r="B8" s="28" t="s">
        <v>35</v>
      </c>
      <c r="C8" s="26" t="s">
        <v>36</v>
      </c>
      <c r="D8" s="26" t="s">
        <v>36</v>
      </c>
      <c r="E8" s="26" t="s">
        <v>37</v>
      </c>
    </row>
    <row r="9" spans="1:10" ht="19.5">
      <c r="B9" s="23" t="s">
        <v>33</v>
      </c>
      <c r="C9" s="24">
        <v>1.3080000000000001</v>
      </c>
      <c r="D9" s="24">
        <v>1.29</v>
      </c>
      <c r="E9" s="24">
        <v>110.88</v>
      </c>
    </row>
    <row r="10" spans="1:10" ht="19.5">
      <c r="B10" s="88" t="s">
        <v>25</v>
      </c>
      <c r="C10" s="22">
        <v>1.2010000000000001</v>
      </c>
      <c r="D10" s="22">
        <v>1.3320000000000001</v>
      </c>
      <c r="E10" s="22">
        <v>104.35</v>
      </c>
    </row>
    <row r="14" spans="1:10" ht="18" customHeight="1"/>
  </sheetData>
  <mergeCells count="2">
    <mergeCell ref="B3:B4"/>
    <mergeCell ref="D3:J4"/>
  </mergeCells>
  <phoneticPr fontId="1"/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8433" r:id="rId4" name="CommandButton1">
          <controlPr defaultSize="0" autoLine="0" r:id="rId5">
            <anchor moveWithCells="1">
              <from>
                <xdr:col>1</xdr:col>
                <xdr:colOff>123825</xdr:colOff>
                <xdr:row>11</xdr:row>
                <xdr:rowOff>57150</xdr:rowOff>
              </from>
              <to>
                <xdr:col>2</xdr:col>
                <xdr:colOff>952500</xdr:colOff>
                <xdr:row>13</xdr:row>
                <xdr:rowOff>66675</xdr:rowOff>
              </to>
            </anchor>
          </controlPr>
        </control>
      </mc:Choice>
      <mc:Fallback>
        <control shapeId="1843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E12"/>
  <sheetViews>
    <sheetView workbookViewId="0">
      <selection activeCell="D28" sqref="D28"/>
    </sheetView>
  </sheetViews>
  <sheetFormatPr defaultColWidth="8.875" defaultRowHeight="18.75"/>
  <cols>
    <col min="1" max="1" width="13.625" customWidth="1"/>
    <col min="2" max="2" width="22.375" customWidth="1"/>
    <col min="3" max="3" width="16.625" customWidth="1"/>
  </cols>
  <sheetData>
    <row r="3" spans="1:5" ht="19.5" thickBot="1">
      <c r="A3" s="17" t="s">
        <v>30</v>
      </c>
      <c r="B3" s="17" t="s">
        <v>31</v>
      </c>
      <c r="C3" s="7" t="s">
        <v>32</v>
      </c>
    </row>
    <row r="4" spans="1:5" ht="19.5" thickTop="1">
      <c r="A4" s="15">
        <v>0.2</v>
      </c>
      <c r="B4" s="15">
        <v>0.16200000000000001</v>
      </c>
      <c r="C4" s="12">
        <v>0.161</v>
      </c>
      <c r="D4">
        <f>(B4/C4)*100</f>
        <v>100.62111801242236</v>
      </c>
    </row>
    <row r="5" spans="1:5">
      <c r="A5" s="14">
        <v>0.6</v>
      </c>
      <c r="B5" s="14">
        <v>0.191</v>
      </c>
      <c r="C5" s="13">
        <v>0.18</v>
      </c>
      <c r="D5">
        <f>(B5/C5)*100</f>
        <v>106.11111111111111</v>
      </c>
    </row>
    <row r="8" spans="1:5">
      <c r="A8" t="s">
        <v>45</v>
      </c>
    </row>
    <row r="9" spans="1:5">
      <c r="A9">
        <f>1.43/0.39</f>
        <v>3.6666666666666665</v>
      </c>
      <c r="B9">
        <f>1.43/0.4</f>
        <v>3.5749999999999997</v>
      </c>
      <c r="C9">
        <f>(0.19*19.6)/0.39</f>
        <v>9.5487179487179485</v>
      </c>
      <c r="D9">
        <f>(0.19*19.6)/0.4</f>
        <v>9.31</v>
      </c>
      <c r="E9">
        <f>SUM(A9:D9)</f>
        <v>26.100384615384613</v>
      </c>
    </row>
    <row r="11" spans="1:5">
      <c r="A11">
        <f>0.19*19.6</f>
        <v>3.7240000000000002</v>
      </c>
      <c r="B11">
        <f>B12*19.6</f>
        <v>11.76</v>
      </c>
      <c r="C11">
        <f>0.39*26.1</f>
        <v>10.179</v>
      </c>
      <c r="D11">
        <f>A11+B11-C11</f>
        <v>5.3049999999999997</v>
      </c>
      <c r="E11">
        <f>D11/0.79</f>
        <v>6.7151898734177209</v>
      </c>
    </row>
    <row r="12" spans="1:5">
      <c r="B12">
        <f>0.39+0.21</f>
        <v>0.6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19"/>
  <sheetViews>
    <sheetView workbookViewId="0">
      <selection activeCell="I37" sqref="I37"/>
    </sheetView>
  </sheetViews>
  <sheetFormatPr defaultColWidth="13" defaultRowHeight="18.75"/>
  <sheetData>
    <row r="1" spans="1:5">
      <c r="A1" t="s">
        <v>41</v>
      </c>
      <c r="B1" t="s">
        <v>46</v>
      </c>
      <c r="C1" t="s">
        <v>43</v>
      </c>
    </row>
    <row r="2" spans="1:5">
      <c r="B2">
        <v>-6.38</v>
      </c>
      <c r="C2">
        <v>0</v>
      </c>
    </row>
    <row r="3" spans="1:5">
      <c r="B3">
        <v>13.22</v>
      </c>
      <c r="C3">
        <v>-3.7240000000000002</v>
      </c>
    </row>
    <row r="4" spans="1:5">
      <c r="B4">
        <v>-12.88</v>
      </c>
      <c r="C4">
        <v>6.4550000000000001</v>
      </c>
    </row>
    <row r="5" spans="1:5">
      <c r="B5">
        <v>6.72</v>
      </c>
      <c r="C5">
        <v>-5.3049999999999997</v>
      </c>
    </row>
    <row r="7" spans="1:5">
      <c r="B7" t="s">
        <v>42</v>
      </c>
      <c r="C7" t="s">
        <v>44</v>
      </c>
      <c r="D7" t="s">
        <v>42</v>
      </c>
      <c r="E7" t="s">
        <v>44</v>
      </c>
    </row>
    <row r="8" spans="1:5">
      <c r="B8">
        <v>0</v>
      </c>
      <c r="C8">
        <v>0</v>
      </c>
      <c r="D8">
        <v>0</v>
      </c>
      <c r="E8">
        <f>$B$2*D8+$C$2</f>
        <v>0</v>
      </c>
    </row>
    <row r="9" spans="1:5">
      <c r="B9">
        <v>2E-3</v>
      </c>
      <c r="C9">
        <f t="shared" ref="C9:C12" si="0">$B$2</f>
        <v>-6.38</v>
      </c>
      <c r="D9">
        <v>2E-3</v>
      </c>
      <c r="E9">
        <f t="shared" ref="E9:E35" si="1">$B$2*D9+$C$2</f>
        <v>-1.2760000000000001E-2</v>
      </c>
    </row>
    <row r="10" spans="1:5">
      <c r="B10">
        <v>4.0000000000000001E-3</v>
      </c>
      <c r="C10">
        <f t="shared" si="0"/>
        <v>-6.38</v>
      </c>
      <c r="D10">
        <v>4.0000000000000001E-3</v>
      </c>
      <c r="E10">
        <f t="shared" si="1"/>
        <v>-2.5520000000000001E-2</v>
      </c>
    </row>
    <row r="11" spans="1:5">
      <c r="B11">
        <v>6.0000000000000001E-3</v>
      </c>
      <c r="C11">
        <f t="shared" si="0"/>
        <v>-6.38</v>
      </c>
      <c r="D11">
        <v>6.0000000000000001E-3</v>
      </c>
      <c r="E11">
        <f t="shared" si="1"/>
        <v>-3.8280000000000002E-2</v>
      </c>
    </row>
    <row r="12" spans="1:5">
      <c r="B12">
        <v>8.0000000000000002E-3</v>
      </c>
      <c r="C12">
        <f t="shared" si="0"/>
        <v>-6.38</v>
      </c>
      <c r="D12">
        <v>8.0000000000000002E-3</v>
      </c>
      <c r="E12">
        <f t="shared" si="1"/>
        <v>-5.1040000000000002E-2</v>
      </c>
    </row>
    <row r="13" spans="1:5">
      <c r="B13">
        <v>0.01</v>
      </c>
      <c r="C13">
        <f t="shared" ref="C13:C34" si="2">$B$2</f>
        <v>-6.38</v>
      </c>
      <c r="D13">
        <v>0.01</v>
      </c>
      <c r="E13">
        <f t="shared" si="1"/>
        <v>-6.3799999999999996E-2</v>
      </c>
    </row>
    <row r="14" spans="1:5">
      <c r="B14">
        <v>0.02</v>
      </c>
      <c r="C14">
        <f t="shared" si="2"/>
        <v>-6.38</v>
      </c>
      <c r="D14">
        <v>0.02</v>
      </c>
      <c r="E14">
        <f t="shared" si="1"/>
        <v>-0.12759999999999999</v>
      </c>
    </row>
    <row r="15" spans="1:5">
      <c r="B15">
        <v>0.03</v>
      </c>
      <c r="C15">
        <f t="shared" si="2"/>
        <v>-6.38</v>
      </c>
      <c r="D15">
        <v>0.03</v>
      </c>
      <c r="E15">
        <f t="shared" si="1"/>
        <v>-0.19139999999999999</v>
      </c>
    </row>
    <row r="16" spans="1:5">
      <c r="B16">
        <v>0.04</v>
      </c>
      <c r="C16">
        <f t="shared" si="2"/>
        <v>-6.38</v>
      </c>
      <c r="D16">
        <v>0.04</v>
      </c>
      <c r="E16">
        <f t="shared" si="1"/>
        <v>-0.25519999999999998</v>
      </c>
    </row>
    <row r="17" spans="2:5">
      <c r="B17">
        <v>0.05</v>
      </c>
      <c r="C17">
        <f t="shared" si="2"/>
        <v>-6.38</v>
      </c>
      <c r="D17">
        <v>0.05</v>
      </c>
      <c r="E17">
        <f t="shared" si="1"/>
        <v>-0.31900000000000001</v>
      </c>
    </row>
    <row r="18" spans="2:5">
      <c r="B18">
        <v>0.06</v>
      </c>
      <c r="C18">
        <f t="shared" si="2"/>
        <v>-6.38</v>
      </c>
      <c r="D18">
        <v>0.06</v>
      </c>
      <c r="E18">
        <f t="shared" si="1"/>
        <v>-0.38279999999999997</v>
      </c>
    </row>
    <row r="19" spans="2:5">
      <c r="B19">
        <v>7.0000000000000007E-2</v>
      </c>
      <c r="C19">
        <f t="shared" si="2"/>
        <v>-6.38</v>
      </c>
      <c r="D19">
        <v>7.0000000000000007E-2</v>
      </c>
      <c r="E19">
        <f t="shared" si="1"/>
        <v>-0.44660000000000005</v>
      </c>
    </row>
    <row r="20" spans="2:5">
      <c r="B20">
        <v>0.08</v>
      </c>
      <c r="C20">
        <f t="shared" si="2"/>
        <v>-6.38</v>
      </c>
      <c r="D20">
        <v>0.08</v>
      </c>
      <c r="E20">
        <f t="shared" si="1"/>
        <v>-0.51039999999999996</v>
      </c>
    </row>
    <row r="21" spans="2:5">
      <c r="B21">
        <v>0.09</v>
      </c>
      <c r="C21">
        <f t="shared" si="2"/>
        <v>-6.38</v>
      </c>
      <c r="D21">
        <v>0.09</v>
      </c>
      <c r="E21">
        <f t="shared" si="1"/>
        <v>-0.57419999999999993</v>
      </c>
    </row>
    <row r="22" spans="2:5">
      <c r="B22">
        <v>0.1</v>
      </c>
      <c r="C22">
        <f t="shared" si="2"/>
        <v>-6.38</v>
      </c>
      <c r="D22">
        <v>0.1</v>
      </c>
      <c r="E22">
        <f t="shared" si="1"/>
        <v>-0.63800000000000001</v>
      </c>
    </row>
    <row r="23" spans="2:5">
      <c r="B23">
        <v>0.11</v>
      </c>
      <c r="C23">
        <f t="shared" si="2"/>
        <v>-6.38</v>
      </c>
      <c r="D23">
        <v>0.11</v>
      </c>
      <c r="E23">
        <f t="shared" si="1"/>
        <v>-0.70179999999999998</v>
      </c>
    </row>
    <row r="24" spans="2:5">
      <c r="B24">
        <v>0.12</v>
      </c>
      <c r="C24">
        <f t="shared" si="2"/>
        <v>-6.38</v>
      </c>
      <c r="D24">
        <v>0.12</v>
      </c>
      <c r="E24">
        <f t="shared" si="1"/>
        <v>-0.76559999999999995</v>
      </c>
    </row>
    <row r="25" spans="2:5">
      <c r="B25">
        <v>0.13</v>
      </c>
      <c r="C25">
        <f t="shared" si="2"/>
        <v>-6.38</v>
      </c>
      <c r="D25">
        <v>0.13</v>
      </c>
      <c r="E25">
        <f t="shared" si="1"/>
        <v>-0.82940000000000003</v>
      </c>
    </row>
    <row r="26" spans="2:5">
      <c r="B26">
        <v>0.14000000000000001</v>
      </c>
      <c r="C26">
        <f t="shared" si="2"/>
        <v>-6.38</v>
      </c>
      <c r="D26">
        <v>0.14000000000000001</v>
      </c>
      <c r="E26">
        <f t="shared" si="1"/>
        <v>-0.8932000000000001</v>
      </c>
    </row>
    <row r="27" spans="2:5">
      <c r="B27">
        <v>0.15</v>
      </c>
      <c r="C27">
        <f t="shared" si="2"/>
        <v>-6.38</v>
      </c>
      <c r="D27">
        <v>0.15</v>
      </c>
      <c r="E27">
        <f t="shared" si="1"/>
        <v>-0.95699999999999996</v>
      </c>
    </row>
    <row r="28" spans="2:5">
      <c r="B28">
        <v>0.16</v>
      </c>
      <c r="C28">
        <f t="shared" si="2"/>
        <v>-6.38</v>
      </c>
      <c r="D28">
        <v>0.16</v>
      </c>
      <c r="E28">
        <f t="shared" si="1"/>
        <v>-1.0207999999999999</v>
      </c>
    </row>
    <row r="29" spans="2:5">
      <c r="B29">
        <v>0.17</v>
      </c>
      <c r="C29">
        <f t="shared" si="2"/>
        <v>-6.38</v>
      </c>
      <c r="D29">
        <v>0.17</v>
      </c>
      <c r="E29">
        <f t="shared" si="1"/>
        <v>-1.0846</v>
      </c>
    </row>
    <row r="30" spans="2:5">
      <c r="B30">
        <v>0.18</v>
      </c>
      <c r="C30">
        <f t="shared" si="2"/>
        <v>-6.38</v>
      </c>
      <c r="D30">
        <v>0.18</v>
      </c>
      <c r="E30">
        <f t="shared" si="1"/>
        <v>-1.1483999999999999</v>
      </c>
    </row>
    <row r="31" spans="2:5">
      <c r="B31">
        <v>0.182</v>
      </c>
      <c r="C31">
        <f t="shared" si="2"/>
        <v>-6.38</v>
      </c>
      <c r="D31">
        <v>0.182</v>
      </c>
      <c r="E31">
        <f t="shared" si="1"/>
        <v>-1.16116</v>
      </c>
    </row>
    <row r="32" spans="2:5">
      <c r="B32">
        <v>0.184</v>
      </c>
      <c r="C32">
        <f t="shared" si="2"/>
        <v>-6.38</v>
      </c>
      <c r="D32">
        <v>0.184</v>
      </c>
      <c r="E32">
        <f t="shared" si="1"/>
        <v>-1.1739199999999999</v>
      </c>
    </row>
    <row r="33" spans="1:5">
      <c r="B33">
        <v>0.186</v>
      </c>
      <c r="C33">
        <f t="shared" si="2"/>
        <v>-6.38</v>
      </c>
      <c r="D33">
        <v>0.186</v>
      </c>
      <c r="E33">
        <f t="shared" si="1"/>
        <v>-1.18668</v>
      </c>
    </row>
    <row r="34" spans="1:5">
      <c r="A34" t="s">
        <v>47</v>
      </c>
      <c r="B34">
        <v>0.188</v>
      </c>
      <c r="C34">
        <f t="shared" si="2"/>
        <v>-6.38</v>
      </c>
      <c r="D34">
        <v>0.188</v>
      </c>
      <c r="E34">
        <f t="shared" si="1"/>
        <v>-1.1994400000000001</v>
      </c>
    </row>
    <row r="35" spans="1:5">
      <c r="B35">
        <v>0.19</v>
      </c>
      <c r="C35">
        <v>0</v>
      </c>
      <c r="D35">
        <v>0.19</v>
      </c>
      <c r="E35">
        <f t="shared" si="1"/>
        <v>-1.2121999999999999</v>
      </c>
    </row>
    <row r="36" spans="1:5">
      <c r="B36">
        <v>0.192</v>
      </c>
      <c r="C36">
        <f t="shared" ref="C36:C39" si="3">$B$3</f>
        <v>13.22</v>
      </c>
      <c r="D36">
        <v>0.192</v>
      </c>
      <c r="E36">
        <f>$B$3*D36+$C$3</f>
        <v>-1.1857600000000001</v>
      </c>
    </row>
    <row r="37" spans="1:5">
      <c r="B37">
        <v>0.19400000000000001</v>
      </c>
      <c r="C37">
        <f t="shared" si="3"/>
        <v>13.22</v>
      </c>
      <c r="D37">
        <v>0.19400000000000001</v>
      </c>
      <c r="E37">
        <f t="shared" ref="E37:E63" si="4">$B$3*D37+$C$3</f>
        <v>-1.1593200000000001</v>
      </c>
    </row>
    <row r="38" spans="1:5">
      <c r="B38">
        <v>0.19600000000000001</v>
      </c>
      <c r="C38">
        <f t="shared" si="3"/>
        <v>13.22</v>
      </c>
      <c r="D38">
        <v>0.19600000000000001</v>
      </c>
      <c r="E38">
        <f t="shared" si="4"/>
        <v>-1.1328800000000001</v>
      </c>
    </row>
    <row r="39" spans="1:5">
      <c r="B39">
        <v>0.19800000000000001</v>
      </c>
      <c r="C39">
        <f t="shared" si="3"/>
        <v>13.22</v>
      </c>
      <c r="D39">
        <v>0.19800000000000001</v>
      </c>
      <c r="E39">
        <f t="shared" si="4"/>
        <v>-1.1064400000000001</v>
      </c>
    </row>
    <row r="40" spans="1:5">
      <c r="B40">
        <v>0.2</v>
      </c>
      <c r="C40">
        <f>$B$3</f>
        <v>13.22</v>
      </c>
      <c r="D40">
        <v>0.2</v>
      </c>
      <c r="E40">
        <f t="shared" si="4"/>
        <v>-1.08</v>
      </c>
    </row>
    <row r="41" spans="1:5">
      <c r="B41">
        <v>0.21</v>
      </c>
      <c r="C41">
        <f t="shared" ref="C41:C62" si="5">$B$3</f>
        <v>13.22</v>
      </c>
      <c r="D41">
        <v>0.21</v>
      </c>
      <c r="E41">
        <f t="shared" si="4"/>
        <v>-0.94779999999999998</v>
      </c>
    </row>
    <row r="42" spans="1:5">
      <c r="B42">
        <v>0.22</v>
      </c>
      <c r="C42">
        <f t="shared" si="5"/>
        <v>13.22</v>
      </c>
      <c r="D42">
        <v>0.22</v>
      </c>
      <c r="E42">
        <f t="shared" si="4"/>
        <v>-0.81559999999999988</v>
      </c>
    </row>
    <row r="43" spans="1:5">
      <c r="B43">
        <v>0.23</v>
      </c>
      <c r="C43">
        <f t="shared" si="5"/>
        <v>13.22</v>
      </c>
      <c r="D43">
        <v>0.23</v>
      </c>
      <c r="E43">
        <f t="shared" si="4"/>
        <v>-0.68339999999999979</v>
      </c>
    </row>
    <row r="44" spans="1:5">
      <c r="B44">
        <v>0.24</v>
      </c>
      <c r="C44">
        <f t="shared" si="5"/>
        <v>13.22</v>
      </c>
      <c r="D44">
        <v>0.24</v>
      </c>
      <c r="E44">
        <f t="shared" si="4"/>
        <v>-0.55120000000000013</v>
      </c>
    </row>
    <row r="45" spans="1:5">
      <c r="B45">
        <v>0.25</v>
      </c>
      <c r="C45">
        <f t="shared" si="5"/>
        <v>13.22</v>
      </c>
      <c r="D45">
        <v>0.25</v>
      </c>
      <c r="E45">
        <f t="shared" si="4"/>
        <v>-0.41900000000000004</v>
      </c>
    </row>
    <row r="46" spans="1:5">
      <c r="B46">
        <v>0.26</v>
      </c>
      <c r="C46">
        <f t="shared" si="5"/>
        <v>13.22</v>
      </c>
      <c r="D46">
        <v>0.26</v>
      </c>
      <c r="E46">
        <f t="shared" si="4"/>
        <v>-0.28679999999999994</v>
      </c>
    </row>
    <row r="47" spans="1:5">
      <c r="B47">
        <v>0.27</v>
      </c>
      <c r="C47">
        <f t="shared" si="5"/>
        <v>13.22</v>
      </c>
      <c r="D47">
        <v>0.27</v>
      </c>
      <c r="E47">
        <f t="shared" si="4"/>
        <v>-0.15459999999999985</v>
      </c>
    </row>
    <row r="48" spans="1:5">
      <c r="B48">
        <v>0.28000000000000003</v>
      </c>
      <c r="C48">
        <f t="shared" si="5"/>
        <v>13.22</v>
      </c>
      <c r="D48">
        <v>0.28000000000000003</v>
      </c>
      <c r="E48">
        <f t="shared" si="4"/>
        <v>-2.2399999999999753E-2</v>
      </c>
    </row>
    <row r="49" spans="2:5">
      <c r="B49">
        <v>0.28999999999999998</v>
      </c>
      <c r="C49">
        <f t="shared" si="5"/>
        <v>13.22</v>
      </c>
      <c r="D49">
        <v>0.28999999999999998</v>
      </c>
      <c r="E49">
        <f t="shared" si="4"/>
        <v>0.1097999999999999</v>
      </c>
    </row>
    <row r="50" spans="2:5">
      <c r="B50">
        <v>0.3</v>
      </c>
      <c r="C50">
        <f t="shared" si="5"/>
        <v>13.22</v>
      </c>
      <c r="D50">
        <v>0.3</v>
      </c>
      <c r="E50">
        <f t="shared" si="4"/>
        <v>0.24199999999999999</v>
      </c>
    </row>
    <row r="51" spans="2:5">
      <c r="B51">
        <v>0.31</v>
      </c>
      <c r="C51">
        <f t="shared" si="5"/>
        <v>13.22</v>
      </c>
      <c r="D51">
        <v>0.31</v>
      </c>
      <c r="E51">
        <f t="shared" si="4"/>
        <v>0.37420000000000009</v>
      </c>
    </row>
    <row r="52" spans="2:5">
      <c r="B52">
        <v>0.32</v>
      </c>
      <c r="C52">
        <f t="shared" si="5"/>
        <v>13.22</v>
      </c>
      <c r="D52">
        <v>0.32</v>
      </c>
      <c r="E52">
        <f t="shared" si="4"/>
        <v>0.50640000000000018</v>
      </c>
    </row>
    <row r="53" spans="2:5">
      <c r="B53">
        <v>0.33</v>
      </c>
      <c r="C53">
        <f t="shared" si="5"/>
        <v>13.22</v>
      </c>
      <c r="D53">
        <v>0.33</v>
      </c>
      <c r="E53">
        <f t="shared" si="4"/>
        <v>0.63860000000000028</v>
      </c>
    </row>
    <row r="54" spans="2:5">
      <c r="B54">
        <v>0.34</v>
      </c>
      <c r="C54">
        <f t="shared" si="5"/>
        <v>13.22</v>
      </c>
      <c r="D54">
        <v>0.34</v>
      </c>
      <c r="E54">
        <f t="shared" si="4"/>
        <v>0.77080000000000037</v>
      </c>
    </row>
    <row r="55" spans="2:5">
      <c r="B55">
        <v>0.35</v>
      </c>
      <c r="C55">
        <f t="shared" si="5"/>
        <v>13.22</v>
      </c>
      <c r="D55">
        <v>0.35</v>
      </c>
      <c r="E55">
        <f t="shared" si="4"/>
        <v>0.90299999999999958</v>
      </c>
    </row>
    <row r="56" spans="2:5">
      <c r="B56">
        <v>0.36</v>
      </c>
      <c r="C56">
        <f t="shared" si="5"/>
        <v>13.22</v>
      </c>
      <c r="D56">
        <v>0.36</v>
      </c>
      <c r="E56">
        <f t="shared" si="4"/>
        <v>1.0351999999999997</v>
      </c>
    </row>
    <row r="57" spans="2:5">
      <c r="B57">
        <v>0.37</v>
      </c>
      <c r="C57">
        <f t="shared" si="5"/>
        <v>13.22</v>
      </c>
      <c r="D57">
        <v>0.37</v>
      </c>
      <c r="E57">
        <f t="shared" si="4"/>
        <v>1.1673999999999998</v>
      </c>
    </row>
    <row r="58" spans="2:5">
      <c r="B58">
        <v>0.38</v>
      </c>
      <c r="C58">
        <f t="shared" si="5"/>
        <v>13.22</v>
      </c>
      <c r="D58">
        <v>0.38</v>
      </c>
      <c r="E58">
        <f t="shared" si="4"/>
        <v>1.2995999999999999</v>
      </c>
    </row>
    <row r="59" spans="2:5">
      <c r="B59">
        <v>0.38200000000000001</v>
      </c>
      <c r="C59">
        <f t="shared" si="5"/>
        <v>13.22</v>
      </c>
      <c r="D59">
        <v>0.38200000000000001</v>
      </c>
      <c r="E59">
        <f t="shared" si="4"/>
        <v>1.3260399999999999</v>
      </c>
    </row>
    <row r="60" spans="2:5">
      <c r="B60">
        <v>0.38400000000000001</v>
      </c>
      <c r="C60">
        <f t="shared" si="5"/>
        <v>13.22</v>
      </c>
      <c r="D60">
        <v>0.38400000000000001</v>
      </c>
      <c r="E60">
        <f t="shared" si="4"/>
        <v>1.3524799999999999</v>
      </c>
    </row>
    <row r="61" spans="2:5">
      <c r="B61">
        <v>0.38600000000000001</v>
      </c>
      <c r="C61">
        <f t="shared" si="5"/>
        <v>13.22</v>
      </c>
      <c r="D61">
        <v>0.38600000000000001</v>
      </c>
      <c r="E61">
        <f t="shared" si="4"/>
        <v>1.3789199999999999</v>
      </c>
    </row>
    <row r="62" spans="2:5">
      <c r="B62">
        <v>0.38800000000000001</v>
      </c>
      <c r="C62">
        <f t="shared" si="5"/>
        <v>13.22</v>
      </c>
      <c r="D62">
        <v>0.38800000000000001</v>
      </c>
      <c r="E62">
        <f t="shared" si="4"/>
        <v>1.4053599999999999</v>
      </c>
    </row>
    <row r="63" spans="2:5">
      <c r="B63">
        <v>0.39</v>
      </c>
      <c r="C63">
        <v>0</v>
      </c>
      <c r="D63">
        <v>0.39</v>
      </c>
      <c r="E63">
        <f t="shared" si="4"/>
        <v>1.4318</v>
      </c>
    </row>
    <row r="64" spans="2:5">
      <c r="B64">
        <v>0.39200000000000002</v>
      </c>
      <c r="C64">
        <f t="shared" ref="C64:C67" si="6">$B$4</f>
        <v>-12.88</v>
      </c>
      <c r="D64">
        <v>0.39200000000000002</v>
      </c>
      <c r="E64">
        <f>$B$4*D64+$C$4</f>
        <v>1.40604</v>
      </c>
    </row>
    <row r="65" spans="2:5">
      <c r="B65">
        <v>0.39400000000000002</v>
      </c>
      <c r="C65">
        <f t="shared" si="6"/>
        <v>-12.88</v>
      </c>
      <c r="D65">
        <v>0.39400000000000002</v>
      </c>
      <c r="E65">
        <f t="shared" ref="E65:E92" si="7">$B$4*D65+$C$4</f>
        <v>1.38028</v>
      </c>
    </row>
    <row r="66" spans="2:5">
      <c r="B66">
        <v>0.39600000000000002</v>
      </c>
      <c r="C66">
        <f t="shared" si="6"/>
        <v>-12.88</v>
      </c>
      <c r="D66">
        <v>0.39600000000000002</v>
      </c>
      <c r="E66">
        <f t="shared" si="7"/>
        <v>1.3545199999999999</v>
      </c>
    </row>
    <row r="67" spans="2:5">
      <c r="B67">
        <v>0.39800000000000002</v>
      </c>
      <c r="C67">
        <f t="shared" si="6"/>
        <v>-12.88</v>
      </c>
      <c r="D67">
        <v>0.39800000000000002</v>
      </c>
      <c r="E67">
        <f t="shared" si="7"/>
        <v>1.3287599999999991</v>
      </c>
    </row>
    <row r="68" spans="2:5">
      <c r="B68">
        <v>0.4</v>
      </c>
      <c r="C68">
        <f>$B$4</f>
        <v>-12.88</v>
      </c>
      <c r="D68">
        <v>0.4</v>
      </c>
      <c r="E68">
        <f t="shared" si="7"/>
        <v>1.302999999999999</v>
      </c>
    </row>
    <row r="69" spans="2:5">
      <c r="B69">
        <v>0.41</v>
      </c>
      <c r="C69">
        <f t="shared" ref="C69:C91" si="8">$B$4</f>
        <v>-12.88</v>
      </c>
      <c r="D69">
        <v>0.41</v>
      </c>
      <c r="E69">
        <f t="shared" si="7"/>
        <v>1.1741999999999999</v>
      </c>
    </row>
    <row r="70" spans="2:5">
      <c r="B70">
        <v>0.42</v>
      </c>
      <c r="C70">
        <f t="shared" si="8"/>
        <v>-12.88</v>
      </c>
      <c r="D70">
        <v>0.42</v>
      </c>
      <c r="E70">
        <f t="shared" si="7"/>
        <v>1.0453999999999999</v>
      </c>
    </row>
    <row r="71" spans="2:5">
      <c r="B71">
        <v>0.43</v>
      </c>
      <c r="C71">
        <f t="shared" si="8"/>
        <v>-12.88</v>
      </c>
      <c r="D71">
        <v>0.43</v>
      </c>
      <c r="E71">
        <f t="shared" si="7"/>
        <v>0.91659999999999986</v>
      </c>
    </row>
    <row r="72" spans="2:5">
      <c r="B72">
        <v>0.44</v>
      </c>
      <c r="C72">
        <f t="shared" si="8"/>
        <v>-12.88</v>
      </c>
      <c r="D72">
        <v>0.44</v>
      </c>
      <c r="E72">
        <f t="shared" si="7"/>
        <v>0.78779999999999983</v>
      </c>
    </row>
    <row r="73" spans="2:5">
      <c r="B73">
        <v>0.45</v>
      </c>
      <c r="C73">
        <f t="shared" si="8"/>
        <v>-12.88</v>
      </c>
      <c r="D73">
        <v>0.45</v>
      </c>
      <c r="E73">
        <f t="shared" si="7"/>
        <v>0.65899999999999981</v>
      </c>
    </row>
    <row r="74" spans="2:5">
      <c r="B74">
        <v>0.46</v>
      </c>
      <c r="C74">
        <f t="shared" si="8"/>
        <v>-12.88</v>
      </c>
      <c r="D74">
        <v>0.46</v>
      </c>
      <c r="E74">
        <f t="shared" si="7"/>
        <v>0.53019999999999978</v>
      </c>
    </row>
    <row r="75" spans="2:5">
      <c r="B75">
        <v>0.47</v>
      </c>
      <c r="C75">
        <f t="shared" si="8"/>
        <v>-12.88</v>
      </c>
      <c r="D75">
        <v>0.47</v>
      </c>
      <c r="E75">
        <f t="shared" si="7"/>
        <v>0.40139999999999976</v>
      </c>
    </row>
    <row r="76" spans="2:5">
      <c r="B76">
        <v>0.48</v>
      </c>
      <c r="C76">
        <f t="shared" si="8"/>
        <v>-12.88</v>
      </c>
      <c r="D76">
        <v>0.48</v>
      </c>
      <c r="E76">
        <f t="shared" si="7"/>
        <v>0.27259999999999973</v>
      </c>
    </row>
    <row r="77" spans="2:5">
      <c r="B77">
        <v>0.49</v>
      </c>
      <c r="C77">
        <f t="shared" si="8"/>
        <v>-12.88</v>
      </c>
      <c r="D77">
        <v>0.49</v>
      </c>
      <c r="E77">
        <f t="shared" si="7"/>
        <v>0.14379999999999971</v>
      </c>
    </row>
    <row r="78" spans="2:5">
      <c r="B78">
        <v>0.5</v>
      </c>
      <c r="C78">
        <f t="shared" si="8"/>
        <v>-12.88</v>
      </c>
      <c r="D78">
        <v>0.5</v>
      </c>
      <c r="E78">
        <f t="shared" si="7"/>
        <v>1.499999999999968E-2</v>
      </c>
    </row>
    <row r="79" spans="2:5">
      <c r="B79">
        <v>0.51</v>
      </c>
      <c r="C79">
        <f t="shared" si="8"/>
        <v>-12.88</v>
      </c>
      <c r="D79">
        <v>0.51</v>
      </c>
      <c r="E79">
        <f t="shared" si="7"/>
        <v>-0.11380000000000035</v>
      </c>
    </row>
    <row r="80" spans="2:5">
      <c r="B80">
        <v>0.52</v>
      </c>
      <c r="C80">
        <f t="shared" si="8"/>
        <v>-12.88</v>
      </c>
      <c r="D80">
        <v>0.52</v>
      </c>
      <c r="E80">
        <f t="shared" si="7"/>
        <v>-0.24260000000000037</v>
      </c>
    </row>
    <row r="81" spans="2:5">
      <c r="B81">
        <v>0.53</v>
      </c>
      <c r="C81">
        <f t="shared" si="8"/>
        <v>-12.88</v>
      </c>
      <c r="D81">
        <v>0.53</v>
      </c>
      <c r="E81">
        <f t="shared" si="7"/>
        <v>-0.3714000000000004</v>
      </c>
    </row>
    <row r="82" spans="2:5">
      <c r="B82">
        <v>0.54</v>
      </c>
      <c r="C82">
        <f t="shared" si="8"/>
        <v>-12.88</v>
      </c>
      <c r="D82">
        <v>0.54</v>
      </c>
      <c r="E82">
        <f t="shared" si="7"/>
        <v>-0.50020000000000042</v>
      </c>
    </row>
    <row r="83" spans="2:5">
      <c r="B83">
        <v>0.55000000000000004</v>
      </c>
      <c r="C83">
        <f t="shared" si="8"/>
        <v>-12.88</v>
      </c>
      <c r="D83">
        <v>0.55000000000000004</v>
      </c>
      <c r="E83">
        <f t="shared" si="7"/>
        <v>-0.62900000000000134</v>
      </c>
    </row>
    <row r="84" spans="2:5">
      <c r="B84">
        <v>0.56000000000000005</v>
      </c>
      <c r="C84">
        <f t="shared" si="8"/>
        <v>-12.88</v>
      </c>
      <c r="D84">
        <v>0.56000000000000005</v>
      </c>
      <c r="E84">
        <f t="shared" si="7"/>
        <v>-0.75780000000000136</v>
      </c>
    </row>
    <row r="85" spans="2:5">
      <c r="B85">
        <v>0.56999999999999995</v>
      </c>
      <c r="C85">
        <f t="shared" si="8"/>
        <v>-12.88</v>
      </c>
      <c r="D85">
        <v>0.56999999999999995</v>
      </c>
      <c r="E85">
        <f t="shared" si="7"/>
        <v>-0.88659999999999961</v>
      </c>
    </row>
    <row r="86" spans="2:5">
      <c r="B86">
        <v>0.57999999999999996</v>
      </c>
      <c r="C86">
        <f t="shared" si="8"/>
        <v>-12.88</v>
      </c>
      <c r="D86">
        <v>0.57999999999999996</v>
      </c>
      <c r="E86">
        <f t="shared" si="7"/>
        <v>-1.0153999999999996</v>
      </c>
    </row>
    <row r="87" spans="2:5">
      <c r="B87">
        <v>0.59</v>
      </c>
      <c r="C87">
        <f t="shared" si="8"/>
        <v>-12.88</v>
      </c>
      <c r="D87">
        <v>0.59</v>
      </c>
      <c r="E87">
        <f t="shared" si="7"/>
        <v>-1.1441999999999997</v>
      </c>
    </row>
    <row r="88" spans="2:5">
      <c r="B88">
        <v>0.59199999999999997</v>
      </c>
      <c r="C88">
        <f t="shared" si="8"/>
        <v>-12.88</v>
      </c>
      <c r="D88">
        <v>0.59199999999999997</v>
      </c>
      <c r="E88">
        <f t="shared" si="7"/>
        <v>-1.1699599999999997</v>
      </c>
    </row>
    <row r="89" spans="2:5">
      <c r="B89">
        <v>0.59399999999999997</v>
      </c>
      <c r="C89">
        <f t="shared" si="8"/>
        <v>-12.88</v>
      </c>
      <c r="D89">
        <v>0.59399999999999997</v>
      </c>
      <c r="E89">
        <f t="shared" si="7"/>
        <v>-1.1957199999999997</v>
      </c>
    </row>
    <row r="90" spans="2:5">
      <c r="B90">
        <v>0.59599999999999997</v>
      </c>
      <c r="C90">
        <f t="shared" si="8"/>
        <v>-12.88</v>
      </c>
      <c r="D90">
        <v>0.59599999999999997</v>
      </c>
      <c r="E90">
        <f t="shared" si="7"/>
        <v>-1.2214799999999997</v>
      </c>
    </row>
    <row r="91" spans="2:5">
      <c r="B91">
        <v>0.59799999999999998</v>
      </c>
      <c r="C91">
        <f t="shared" si="8"/>
        <v>-12.88</v>
      </c>
      <c r="D91">
        <v>0.59799999999999998</v>
      </c>
      <c r="E91">
        <f t="shared" si="7"/>
        <v>-1.2472399999999997</v>
      </c>
    </row>
    <row r="92" spans="2:5">
      <c r="B92">
        <v>0.6</v>
      </c>
      <c r="C92">
        <v>0</v>
      </c>
      <c r="D92">
        <v>0.6</v>
      </c>
      <c r="E92">
        <f t="shared" si="7"/>
        <v>-1.2729999999999997</v>
      </c>
    </row>
    <row r="93" spans="2:5">
      <c r="B93">
        <v>0.60199999999999998</v>
      </c>
      <c r="C93">
        <f t="shared" ref="C93:C96" si="9">$B$5</f>
        <v>6.72</v>
      </c>
      <c r="D93">
        <v>0.60199999999999998</v>
      </c>
      <c r="E93">
        <f>$B$5*D93+$C$5</f>
        <v>-1.2595599999999996</v>
      </c>
    </row>
    <row r="94" spans="2:5">
      <c r="B94">
        <v>0.60399999999999998</v>
      </c>
      <c r="C94">
        <f t="shared" si="9"/>
        <v>6.72</v>
      </c>
      <c r="D94">
        <v>0.60399999999999998</v>
      </c>
      <c r="E94">
        <f t="shared" ref="E94:E119" si="10">$B$5*D94+$C$5</f>
        <v>-1.2461200000000003</v>
      </c>
    </row>
    <row r="95" spans="2:5">
      <c r="B95">
        <v>0.60599999999999998</v>
      </c>
      <c r="C95">
        <f t="shared" si="9"/>
        <v>6.72</v>
      </c>
      <c r="D95">
        <v>0.60599999999999998</v>
      </c>
      <c r="E95">
        <f t="shared" si="10"/>
        <v>-1.2326800000000002</v>
      </c>
    </row>
    <row r="96" spans="2:5">
      <c r="B96">
        <v>0.60799999999999998</v>
      </c>
      <c r="C96">
        <f t="shared" si="9"/>
        <v>6.72</v>
      </c>
      <c r="D96">
        <v>0.60799999999999998</v>
      </c>
      <c r="E96">
        <f t="shared" si="10"/>
        <v>-1.2192400000000001</v>
      </c>
    </row>
    <row r="97" spans="2:5">
      <c r="B97">
        <v>0.61</v>
      </c>
      <c r="C97">
        <f>$B$5</f>
        <v>6.72</v>
      </c>
      <c r="D97">
        <v>0.61</v>
      </c>
      <c r="E97">
        <f t="shared" si="10"/>
        <v>-1.2058</v>
      </c>
    </row>
    <row r="98" spans="2:5">
      <c r="B98">
        <v>0.62</v>
      </c>
      <c r="C98">
        <f t="shared" ref="C98:C118" si="11">$B$5</f>
        <v>6.72</v>
      </c>
      <c r="D98">
        <v>0.62</v>
      </c>
      <c r="E98">
        <f t="shared" si="10"/>
        <v>-1.1386000000000003</v>
      </c>
    </row>
    <row r="99" spans="2:5">
      <c r="B99">
        <v>0.63</v>
      </c>
      <c r="C99">
        <f t="shared" si="11"/>
        <v>6.72</v>
      </c>
      <c r="D99">
        <v>0.63</v>
      </c>
      <c r="E99">
        <f t="shared" si="10"/>
        <v>-1.0713999999999997</v>
      </c>
    </row>
    <row r="100" spans="2:5">
      <c r="B100">
        <v>0.64</v>
      </c>
      <c r="C100">
        <f t="shared" si="11"/>
        <v>6.72</v>
      </c>
      <c r="D100">
        <v>0.64</v>
      </c>
      <c r="E100">
        <f t="shared" si="10"/>
        <v>-1.0042</v>
      </c>
    </row>
    <row r="101" spans="2:5">
      <c r="B101">
        <v>0.65</v>
      </c>
      <c r="C101">
        <f t="shared" si="11"/>
        <v>6.72</v>
      </c>
      <c r="D101">
        <v>0.65</v>
      </c>
      <c r="E101">
        <f t="shared" si="10"/>
        <v>-0.93699999999999939</v>
      </c>
    </row>
    <row r="102" spans="2:5">
      <c r="B102">
        <v>0.66</v>
      </c>
      <c r="C102">
        <f t="shared" si="11"/>
        <v>6.72</v>
      </c>
      <c r="D102">
        <v>0.66</v>
      </c>
      <c r="E102">
        <f t="shared" si="10"/>
        <v>-0.86979999999999968</v>
      </c>
    </row>
    <row r="103" spans="2:5">
      <c r="B103">
        <v>0.67</v>
      </c>
      <c r="C103">
        <f t="shared" si="11"/>
        <v>6.72</v>
      </c>
      <c r="D103">
        <v>0.67</v>
      </c>
      <c r="E103">
        <f t="shared" si="10"/>
        <v>-0.80259999999999998</v>
      </c>
    </row>
    <row r="104" spans="2:5">
      <c r="B104">
        <v>0.68</v>
      </c>
      <c r="C104">
        <f t="shared" si="11"/>
        <v>6.72</v>
      </c>
      <c r="D104">
        <v>0.68</v>
      </c>
      <c r="E104">
        <f t="shared" si="10"/>
        <v>-0.73539999999999939</v>
      </c>
    </row>
    <row r="105" spans="2:5">
      <c r="B105">
        <v>0.69</v>
      </c>
      <c r="C105">
        <f t="shared" si="11"/>
        <v>6.72</v>
      </c>
      <c r="D105">
        <v>0.69</v>
      </c>
      <c r="E105">
        <f t="shared" si="10"/>
        <v>-0.66820000000000057</v>
      </c>
    </row>
    <row r="106" spans="2:5">
      <c r="B106">
        <v>0.7</v>
      </c>
      <c r="C106">
        <f t="shared" si="11"/>
        <v>6.72</v>
      </c>
      <c r="D106">
        <v>0.7</v>
      </c>
      <c r="E106">
        <f t="shared" si="10"/>
        <v>-0.60099999999999998</v>
      </c>
    </row>
    <row r="107" spans="2:5">
      <c r="B107">
        <v>0.71</v>
      </c>
      <c r="C107">
        <f t="shared" si="11"/>
        <v>6.72</v>
      </c>
      <c r="D107">
        <v>0.71</v>
      </c>
      <c r="E107">
        <f t="shared" si="10"/>
        <v>-0.53380000000000027</v>
      </c>
    </row>
    <row r="108" spans="2:5">
      <c r="B108">
        <v>0.72</v>
      </c>
      <c r="C108">
        <f t="shared" si="11"/>
        <v>6.72</v>
      </c>
      <c r="D108">
        <v>0.72</v>
      </c>
      <c r="E108">
        <f t="shared" si="10"/>
        <v>-0.46659999999999968</v>
      </c>
    </row>
    <row r="109" spans="2:5">
      <c r="B109">
        <v>0.73</v>
      </c>
      <c r="C109">
        <f t="shared" si="11"/>
        <v>6.72</v>
      </c>
      <c r="D109">
        <v>0.73</v>
      </c>
      <c r="E109">
        <f t="shared" si="10"/>
        <v>-0.39939999999999998</v>
      </c>
    </row>
    <row r="110" spans="2:5">
      <c r="B110">
        <v>0.74</v>
      </c>
      <c r="C110">
        <f t="shared" si="11"/>
        <v>6.72</v>
      </c>
      <c r="D110">
        <v>0.74</v>
      </c>
      <c r="E110">
        <f t="shared" si="10"/>
        <v>-0.33220000000000027</v>
      </c>
    </row>
    <row r="111" spans="2:5">
      <c r="B111">
        <v>0.75</v>
      </c>
      <c r="C111">
        <f t="shared" si="11"/>
        <v>6.72</v>
      </c>
      <c r="D111">
        <v>0.75</v>
      </c>
      <c r="E111">
        <f t="shared" si="10"/>
        <v>-0.26499999999999968</v>
      </c>
    </row>
    <row r="112" spans="2:5">
      <c r="B112">
        <v>0.76</v>
      </c>
      <c r="C112">
        <f t="shared" si="11"/>
        <v>6.72</v>
      </c>
      <c r="D112">
        <v>0.76</v>
      </c>
      <c r="E112">
        <f t="shared" si="10"/>
        <v>-0.19779999999999998</v>
      </c>
    </row>
    <row r="113" spans="2:5">
      <c r="B113">
        <v>0.77</v>
      </c>
      <c r="C113">
        <f t="shared" si="11"/>
        <v>6.72</v>
      </c>
      <c r="D113">
        <v>0.77</v>
      </c>
      <c r="E113">
        <f t="shared" si="10"/>
        <v>-0.13059999999999938</v>
      </c>
    </row>
    <row r="114" spans="2:5">
      <c r="B114">
        <v>0.78</v>
      </c>
      <c r="C114">
        <f t="shared" si="11"/>
        <v>6.72</v>
      </c>
      <c r="D114">
        <v>0.78</v>
      </c>
      <c r="E114">
        <f t="shared" si="10"/>
        <v>-6.3399999999999679E-2</v>
      </c>
    </row>
    <row r="115" spans="2:5">
      <c r="B115">
        <v>0.78200000000000003</v>
      </c>
      <c r="C115">
        <f t="shared" si="11"/>
        <v>6.72</v>
      </c>
      <c r="D115">
        <v>0.78200000000000003</v>
      </c>
      <c r="E115">
        <f t="shared" si="10"/>
        <v>-4.995999999999956E-2</v>
      </c>
    </row>
    <row r="116" spans="2:5">
      <c r="B116">
        <v>0.78400000000000003</v>
      </c>
      <c r="C116">
        <f t="shared" si="11"/>
        <v>6.72</v>
      </c>
      <c r="D116">
        <v>0.78400000000000003</v>
      </c>
      <c r="E116">
        <f t="shared" si="10"/>
        <v>-3.6519999999999442E-2</v>
      </c>
    </row>
    <row r="117" spans="2:5">
      <c r="B117">
        <v>0.78600000000000003</v>
      </c>
      <c r="C117">
        <f t="shared" si="11"/>
        <v>6.72</v>
      </c>
      <c r="D117">
        <v>0.78600000000000003</v>
      </c>
      <c r="E117">
        <f t="shared" si="10"/>
        <v>-2.3079999999999323E-2</v>
      </c>
    </row>
    <row r="118" spans="2:5">
      <c r="B118">
        <v>0.78800000000000003</v>
      </c>
      <c r="C118">
        <f t="shared" si="11"/>
        <v>6.72</v>
      </c>
      <c r="D118">
        <v>0.78800000000000003</v>
      </c>
      <c r="E118">
        <f t="shared" si="10"/>
        <v>-9.6400000000000929E-3</v>
      </c>
    </row>
    <row r="119" spans="2:5">
      <c r="B119">
        <v>0.79</v>
      </c>
      <c r="C119">
        <v>0</v>
      </c>
      <c r="D119">
        <v>0.79</v>
      </c>
      <c r="E119">
        <f t="shared" si="10"/>
        <v>3.8000000000000256E-3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2"/>
  <sheetViews>
    <sheetView workbookViewId="0">
      <selection activeCell="P23" sqref="P23"/>
    </sheetView>
  </sheetViews>
  <sheetFormatPr defaultRowHeight="18.75"/>
  <cols>
    <col min="1" max="1" width="12.625" customWidth="1"/>
    <col min="2" max="2" width="14" customWidth="1"/>
    <col min="3" max="3" width="19" customWidth="1"/>
  </cols>
  <sheetData>
    <row r="1" spans="1:10">
      <c r="A1" s="142" t="s">
        <v>152</v>
      </c>
      <c r="B1" s="143"/>
    </row>
    <row r="3" spans="1:10">
      <c r="B3" s="164" t="s">
        <v>55</v>
      </c>
      <c r="C3" s="48" t="s">
        <v>56</v>
      </c>
      <c r="D3" s="180" t="s">
        <v>107</v>
      </c>
      <c r="E3" s="181"/>
      <c r="F3" s="181"/>
      <c r="G3" s="181"/>
      <c r="H3" s="181"/>
      <c r="I3" s="181"/>
      <c r="J3" s="181"/>
    </row>
    <row r="4" spans="1:10">
      <c r="B4" s="164"/>
      <c r="C4" s="37" t="s">
        <v>63</v>
      </c>
      <c r="D4" s="181"/>
      <c r="E4" s="181"/>
      <c r="F4" s="181"/>
      <c r="G4" s="181"/>
      <c r="H4" s="181"/>
      <c r="I4" s="181"/>
      <c r="J4" s="181"/>
    </row>
    <row r="6" spans="1:10">
      <c r="A6" s="78" t="s">
        <v>108</v>
      </c>
    </row>
    <row r="7" spans="1:10">
      <c r="B7" t="s">
        <v>153</v>
      </c>
    </row>
    <row r="8" spans="1:10" ht="19.5" thickBot="1">
      <c r="B8" s="129"/>
      <c r="C8" s="128" t="s">
        <v>25</v>
      </c>
    </row>
    <row r="9" spans="1:10" ht="19.5" thickTop="1">
      <c r="B9" s="125" t="s">
        <v>155</v>
      </c>
      <c r="C9" s="131">
        <v>5.0000000000000001E-3</v>
      </c>
    </row>
    <row r="10" spans="1:10">
      <c r="B10" s="126" t="s">
        <v>154</v>
      </c>
      <c r="C10" s="130">
        <v>0.02</v>
      </c>
    </row>
    <row r="11" spans="1:10">
      <c r="B11" s="126" t="s">
        <v>156</v>
      </c>
      <c r="C11" s="130">
        <v>0.15</v>
      </c>
    </row>
    <row r="12" spans="1:10">
      <c r="B12" s="121" t="s">
        <v>157</v>
      </c>
    </row>
    <row r="13" spans="1:10">
      <c r="B13" s="144" t="s">
        <v>158</v>
      </c>
      <c r="C13" s="145">
        <f>C9*(C10^3)/12</f>
        <v>3.3333333333333338E-9</v>
      </c>
    </row>
    <row r="14" spans="1:10">
      <c r="B14" s="121" t="s">
        <v>113</v>
      </c>
    </row>
    <row r="15" spans="1:10">
      <c r="B15" s="126" t="s">
        <v>113</v>
      </c>
      <c r="C15" s="130">
        <v>500</v>
      </c>
    </row>
    <row r="16" spans="1:10">
      <c r="B16" s="121" t="s">
        <v>115</v>
      </c>
    </row>
    <row r="17" spans="1:5">
      <c r="B17" s="126" t="s">
        <v>115</v>
      </c>
      <c r="C17" s="130">
        <v>206</v>
      </c>
    </row>
    <row r="18" spans="1:5">
      <c r="B18" s="121" t="s">
        <v>159</v>
      </c>
    </row>
    <row r="19" spans="1:5">
      <c r="B19" s="126" t="s">
        <v>160</v>
      </c>
      <c r="C19" s="146">
        <f>((C15*(C11^3))/(3*(C17*(10^9))*C13))*1000</f>
        <v>0.8191747572815532</v>
      </c>
    </row>
    <row r="20" spans="1:5">
      <c r="A20" s="189" t="s">
        <v>161</v>
      </c>
      <c r="B20" s="189"/>
    </row>
    <row r="21" spans="1:5" ht="19.5" thickBot="1">
      <c r="B21" s="129" t="s">
        <v>162</v>
      </c>
      <c r="C21" s="128" t="s">
        <v>163</v>
      </c>
      <c r="D21" s="128" t="s">
        <v>127</v>
      </c>
      <c r="E21" s="128" t="s">
        <v>128</v>
      </c>
    </row>
    <row r="22" spans="1:5" ht="19.5" thickTop="1">
      <c r="B22" s="147">
        <f>C19</f>
        <v>0.8191747572815532</v>
      </c>
      <c r="C22" s="131">
        <v>0.83099999999999996</v>
      </c>
      <c r="D22" s="147">
        <f>C22-B22</f>
        <v>1.182524271844676E-2</v>
      </c>
      <c r="E22" s="133">
        <f>D22/B22</f>
        <v>1.4435555555555752E-2</v>
      </c>
    </row>
  </sheetData>
  <mergeCells count="3">
    <mergeCell ref="B3:B4"/>
    <mergeCell ref="D3:J4"/>
    <mergeCell ref="A20:B20"/>
  </mergeCells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workbookViewId="0">
      <selection activeCell="F29" sqref="F29"/>
    </sheetView>
  </sheetViews>
  <sheetFormatPr defaultColWidth="8.875" defaultRowHeight="18.75"/>
  <cols>
    <col min="1" max="1" width="12" customWidth="1"/>
    <col min="2" max="2" width="10.625" customWidth="1"/>
    <col min="3" max="3" width="16.375" customWidth="1"/>
    <col min="4" max="4" width="14.125" customWidth="1"/>
    <col min="5" max="5" width="16" customWidth="1"/>
    <col min="6" max="6" width="16.375" customWidth="1"/>
    <col min="7" max="7" width="16.875" customWidth="1"/>
  </cols>
  <sheetData>
    <row r="1" spans="1:10">
      <c r="A1" s="142" t="s">
        <v>165</v>
      </c>
      <c r="B1" s="143"/>
    </row>
    <row r="3" spans="1:10">
      <c r="B3" s="164" t="s">
        <v>55</v>
      </c>
      <c r="C3" s="48" t="s">
        <v>56</v>
      </c>
      <c r="D3" s="180" t="s">
        <v>107</v>
      </c>
      <c r="E3" s="181"/>
      <c r="F3" s="181"/>
      <c r="G3" s="181"/>
      <c r="H3" s="181"/>
      <c r="I3" s="181"/>
      <c r="J3" s="181"/>
    </row>
    <row r="4" spans="1:10">
      <c r="B4" s="164"/>
      <c r="C4" s="37" t="s">
        <v>63</v>
      </c>
      <c r="D4" s="181"/>
      <c r="E4" s="181"/>
      <c r="F4" s="181"/>
      <c r="G4" s="181"/>
      <c r="H4" s="181"/>
      <c r="I4" s="181"/>
      <c r="J4" s="181"/>
    </row>
    <row r="6" spans="1:10">
      <c r="A6" s="78" t="s">
        <v>164</v>
      </c>
    </row>
    <row r="7" spans="1:10">
      <c r="B7" t="s">
        <v>167</v>
      </c>
    </row>
    <row r="8" spans="1:10" ht="19.5" thickBot="1">
      <c r="B8" s="128" t="s">
        <v>168</v>
      </c>
      <c r="C8" s="128" t="s">
        <v>169</v>
      </c>
      <c r="D8" s="128" t="s">
        <v>170</v>
      </c>
      <c r="E8" s="128" t="s">
        <v>113</v>
      </c>
      <c r="F8" s="129" t="s">
        <v>171</v>
      </c>
      <c r="G8" s="129" t="s">
        <v>172</v>
      </c>
    </row>
    <row r="9" spans="1:10" ht="19.5" thickTop="1">
      <c r="B9" s="131">
        <f>0.06</f>
        <v>0.06</v>
      </c>
      <c r="C9" s="131">
        <f>0.002</f>
        <v>2E-3</v>
      </c>
      <c r="D9" s="131">
        <v>0.2</v>
      </c>
      <c r="E9" s="131">
        <v>1200</v>
      </c>
      <c r="F9" s="127">
        <f>E9/(C9*B9)</f>
        <v>10000000</v>
      </c>
      <c r="G9" s="131">
        <v>2.1999999999999999E-2</v>
      </c>
    </row>
    <row r="10" spans="1:10">
      <c r="A10" s="207" t="s">
        <v>3</v>
      </c>
      <c r="B10" s="207"/>
      <c r="C10" s="207"/>
    </row>
    <row r="11" spans="1:10" ht="27.75" thickBot="1">
      <c r="B11" s="7" t="s">
        <v>4</v>
      </c>
      <c r="C11" s="7" t="s">
        <v>5</v>
      </c>
      <c r="D11" s="7" t="s">
        <v>6</v>
      </c>
      <c r="E11" s="7" t="s">
        <v>7</v>
      </c>
      <c r="G11" s="151" t="s">
        <v>173</v>
      </c>
    </row>
    <row r="12" spans="1:10" ht="19.5" thickTop="1">
      <c r="B12" s="149">
        <v>2</v>
      </c>
      <c r="C12" s="149">
        <v>805</v>
      </c>
      <c r="D12" s="149">
        <v>3.5299999999999998E-2</v>
      </c>
      <c r="E12" s="8">
        <f>$D12*(10^9)/$G$12</f>
        <v>2.2356666666666669</v>
      </c>
      <c r="G12" s="127">
        <f>$E$9/(($B$9-$G$9)*$C$9)</f>
        <v>15789473.684210526</v>
      </c>
    </row>
    <row r="13" spans="1:10">
      <c r="B13" s="150">
        <v>4</v>
      </c>
      <c r="C13" s="150">
        <v>251</v>
      </c>
      <c r="D13" s="150">
        <v>3.4500000000000003E-2</v>
      </c>
      <c r="E13" s="8">
        <f t="shared" ref="E13:E15" si="0">$D13*(10^9)/$G$12</f>
        <v>2.1850000000000001</v>
      </c>
    </row>
    <row r="14" spans="1:10">
      <c r="B14" s="150">
        <v>6</v>
      </c>
      <c r="C14" s="150">
        <v>48</v>
      </c>
      <c r="D14" s="150">
        <v>3.3500000000000002E-2</v>
      </c>
      <c r="E14" s="8">
        <f t="shared" si="0"/>
        <v>2.121666666666667</v>
      </c>
    </row>
    <row r="15" spans="1:10">
      <c r="B15" s="150">
        <v>8</v>
      </c>
      <c r="C15" s="150">
        <v>20</v>
      </c>
      <c r="D15" s="150">
        <v>3.4599999999999999E-2</v>
      </c>
      <c r="E15" s="8">
        <f t="shared" si="0"/>
        <v>2.1913333333333336</v>
      </c>
    </row>
    <row r="16" spans="1:10">
      <c r="A16" s="207" t="s">
        <v>10</v>
      </c>
      <c r="B16" s="207"/>
      <c r="C16" s="207"/>
    </row>
    <row r="17" spans="1:7">
      <c r="B17" t="s">
        <v>164</v>
      </c>
    </row>
    <row r="18" spans="1:7" ht="27.75" thickBot="1">
      <c r="B18" s="7" t="s">
        <v>8</v>
      </c>
      <c r="C18" s="7" t="s">
        <v>12</v>
      </c>
      <c r="D18" s="7" t="s">
        <v>6</v>
      </c>
      <c r="E18" s="7" t="s">
        <v>7</v>
      </c>
      <c r="G18" s="151" t="s">
        <v>174</v>
      </c>
    </row>
    <row r="19" spans="1:7" ht="19.5" thickTop="1">
      <c r="B19" s="149">
        <v>6.0000000000000001E-3</v>
      </c>
      <c r="C19" s="148">
        <f>B19/$B$9</f>
        <v>0.1</v>
      </c>
      <c r="D19" s="149">
        <v>2.9100000000000001E-2</v>
      </c>
      <c r="E19" s="87">
        <v>2.62</v>
      </c>
      <c r="G19" s="152">
        <f>$E$9/(($B$9-B19)*$C$9)</f>
        <v>11111111.111111112</v>
      </c>
    </row>
    <row r="20" spans="1:7">
      <c r="B20" s="99">
        <v>0.01</v>
      </c>
      <c r="C20" s="148">
        <f t="shared" ref="C20:C23" si="1">B20/$B$9</f>
        <v>0.16666666666666669</v>
      </c>
      <c r="D20" s="150">
        <v>2.9700000000000001E-2</v>
      </c>
      <c r="E20" s="86">
        <v>2.48</v>
      </c>
      <c r="G20" s="132">
        <f>$E$9/(($B$9-B20)*$C$9)</f>
        <v>12000000.000000002</v>
      </c>
    </row>
    <row r="21" spans="1:7">
      <c r="B21" s="150">
        <v>1.6E-2</v>
      </c>
      <c r="C21" s="148">
        <f t="shared" si="1"/>
        <v>0.26666666666666666</v>
      </c>
      <c r="D21" s="150">
        <v>3.1600000000000003E-2</v>
      </c>
      <c r="E21" s="5">
        <v>2.3199999999999998</v>
      </c>
      <c r="G21" s="132">
        <f t="shared" ref="G21:G23" si="2">$E$9/(($B$9-B21)*$C$9)</f>
        <v>13636363.636363637</v>
      </c>
    </row>
    <row r="22" spans="1:7">
      <c r="B22" s="99">
        <v>2.1999999999999999E-2</v>
      </c>
      <c r="C22" s="148">
        <f t="shared" si="1"/>
        <v>0.36666666666666664</v>
      </c>
      <c r="D22" s="150">
        <v>3.4500000000000003E-2</v>
      </c>
      <c r="E22" s="86">
        <v>2.19</v>
      </c>
      <c r="G22" s="132">
        <f t="shared" si="2"/>
        <v>15789473.684210526</v>
      </c>
    </row>
    <row r="23" spans="1:7">
      <c r="B23" s="99">
        <v>0.03</v>
      </c>
      <c r="C23" s="148">
        <f t="shared" si="1"/>
        <v>0.5</v>
      </c>
      <c r="D23" s="150">
        <v>4.24E-2</v>
      </c>
      <c r="E23" s="86">
        <v>2.12</v>
      </c>
      <c r="G23" s="132">
        <f t="shared" si="2"/>
        <v>20000000</v>
      </c>
    </row>
    <row r="24" spans="1:7">
      <c r="B24" t="s">
        <v>161</v>
      </c>
    </row>
    <row r="25" spans="1:7" ht="26.25" thickBot="1">
      <c r="B25" s="7" t="s">
        <v>7</v>
      </c>
      <c r="C25" s="7" t="s">
        <v>9</v>
      </c>
    </row>
    <row r="26" spans="1:7" ht="19.5" thickTop="1">
      <c r="B26" s="87">
        <f>E19</f>
        <v>2.62</v>
      </c>
      <c r="C26" s="8">
        <f>C19</f>
        <v>0.1</v>
      </c>
    </row>
    <row r="27" spans="1:7">
      <c r="B27" s="87">
        <f t="shared" ref="B27:B30" si="3">E20</f>
        <v>2.48</v>
      </c>
      <c r="C27" s="148">
        <f t="shared" ref="C27:C30" si="4">C20</f>
        <v>0.16666666666666669</v>
      </c>
    </row>
    <row r="28" spans="1:7">
      <c r="B28" s="87">
        <f t="shared" si="3"/>
        <v>2.3199999999999998</v>
      </c>
      <c r="C28" s="8">
        <f t="shared" si="4"/>
        <v>0.26666666666666666</v>
      </c>
    </row>
    <row r="29" spans="1:7">
      <c r="B29" s="87">
        <f t="shared" si="3"/>
        <v>2.19</v>
      </c>
      <c r="C29" s="8">
        <f t="shared" si="4"/>
        <v>0.36666666666666664</v>
      </c>
    </row>
    <row r="30" spans="1:7">
      <c r="B30" s="87">
        <f t="shared" si="3"/>
        <v>2.12</v>
      </c>
      <c r="C30" s="8">
        <f t="shared" si="4"/>
        <v>0.5</v>
      </c>
    </row>
    <row r="31" spans="1:7">
      <c r="A31" s="207" t="s">
        <v>11</v>
      </c>
      <c r="B31" s="207"/>
      <c r="C31" s="207"/>
    </row>
    <row r="32" spans="1:7" ht="26.25" thickBot="1">
      <c r="B32" s="7" t="s">
        <v>7</v>
      </c>
      <c r="C32" s="7" t="s">
        <v>5</v>
      </c>
    </row>
    <row r="33" spans="2:3" ht="19.5" thickTop="1">
      <c r="B33" s="8">
        <f>E12</f>
        <v>2.2356666666666669</v>
      </c>
      <c r="C33" s="87">
        <f>C12</f>
        <v>805</v>
      </c>
    </row>
    <row r="34" spans="2:3">
      <c r="B34" s="8">
        <f t="shared" ref="B34:B36" si="5">E13</f>
        <v>2.1850000000000001</v>
      </c>
      <c r="C34" s="87">
        <f t="shared" ref="C34:C36" si="6">C13</f>
        <v>251</v>
      </c>
    </row>
    <row r="35" spans="2:3">
      <c r="B35" s="8">
        <f t="shared" si="5"/>
        <v>2.121666666666667</v>
      </c>
      <c r="C35" s="87">
        <f t="shared" si="6"/>
        <v>48</v>
      </c>
    </row>
    <row r="36" spans="2:3">
      <c r="B36" s="8">
        <f t="shared" si="5"/>
        <v>2.1913333333333336</v>
      </c>
      <c r="C36" s="87">
        <f t="shared" si="6"/>
        <v>20</v>
      </c>
    </row>
  </sheetData>
  <mergeCells count="5">
    <mergeCell ref="B3:B4"/>
    <mergeCell ref="D3:J4"/>
    <mergeCell ref="A10:C10"/>
    <mergeCell ref="A16:C16"/>
    <mergeCell ref="A31:C31"/>
  </mergeCells>
  <phoneticPr fontId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11"/>
  <sheetViews>
    <sheetView workbookViewId="0">
      <selection activeCell="G18" sqref="G18"/>
    </sheetView>
  </sheetViews>
  <sheetFormatPr defaultRowHeight="18.75"/>
  <cols>
    <col min="2" max="2" width="11.125" customWidth="1"/>
    <col min="3" max="3" width="13.875" customWidth="1"/>
    <col min="4" max="4" width="11.625" customWidth="1"/>
    <col min="5" max="5" width="12.625" customWidth="1"/>
    <col min="9" max="9" width="15.625" customWidth="1"/>
  </cols>
  <sheetData>
    <row r="1" spans="1:10">
      <c r="A1" s="142" t="s">
        <v>166</v>
      </c>
      <c r="B1" s="143"/>
    </row>
    <row r="3" spans="1:10">
      <c r="B3" s="164" t="s">
        <v>55</v>
      </c>
      <c r="C3" s="48" t="s">
        <v>56</v>
      </c>
      <c r="D3" s="180" t="s">
        <v>107</v>
      </c>
      <c r="E3" s="181"/>
      <c r="F3" s="181"/>
      <c r="G3" s="181"/>
      <c r="H3" s="181"/>
      <c r="I3" s="181"/>
      <c r="J3" s="181"/>
    </row>
    <row r="4" spans="1:10">
      <c r="B4" s="164"/>
      <c r="C4" s="37" t="s">
        <v>63</v>
      </c>
      <c r="D4" s="181"/>
      <c r="E4" s="181"/>
      <c r="F4" s="181"/>
      <c r="G4" s="181"/>
      <c r="H4" s="181"/>
      <c r="I4" s="181"/>
      <c r="J4" s="181"/>
    </row>
    <row r="6" spans="1:10">
      <c r="A6" s="207" t="s">
        <v>161</v>
      </c>
      <c r="B6" s="207"/>
      <c r="C6" s="208" t="s">
        <v>177</v>
      </c>
      <c r="D6" s="208"/>
      <c r="E6" s="208"/>
      <c r="F6" s="208"/>
      <c r="G6" s="208"/>
      <c r="H6" s="208"/>
    </row>
    <row r="7" spans="1:10">
      <c r="A7" s="153"/>
      <c r="B7" s="211"/>
      <c r="C7" s="209"/>
      <c r="D7" s="209"/>
      <c r="E7" s="209"/>
      <c r="F7" s="209" t="s">
        <v>127</v>
      </c>
      <c r="G7" s="209"/>
      <c r="H7" s="209"/>
      <c r="I7" s="209"/>
    </row>
    <row r="8" spans="1:10">
      <c r="A8" s="153"/>
      <c r="B8" s="211"/>
      <c r="C8" s="209"/>
      <c r="D8" s="209"/>
      <c r="E8" s="209"/>
      <c r="F8" s="210" t="s">
        <v>178</v>
      </c>
      <c r="G8" s="210"/>
      <c r="H8" s="210" t="s">
        <v>179</v>
      </c>
      <c r="I8" s="210"/>
    </row>
    <row r="9" spans="1:10" ht="19.5" thickBot="1">
      <c r="B9" s="140" t="s">
        <v>175</v>
      </c>
      <c r="C9" s="140" t="s">
        <v>117</v>
      </c>
      <c r="D9" s="140" t="s">
        <v>25</v>
      </c>
      <c r="E9" s="154" t="s">
        <v>176</v>
      </c>
      <c r="F9" s="155" t="s">
        <v>127</v>
      </c>
      <c r="G9" s="155" t="s">
        <v>128</v>
      </c>
      <c r="H9" s="155" t="s">
        <v>127</v>
      </c>
      <c r="I9" s="155" t="s">
        <v>128</v>
      </c>
    </row>
    <row r="10" spans="1:10" ht="19.5" thickTop="1">
      <c r="B10" s="156">
        <v>0.2</v>
      </c>
      <c r="C10" s="157">
        <v>0.16200000000000001</v>
      </c>
      <c r="D10" s="157">
        <v>0.161</v>
      </c>
      <c r="E10" s="158">
        <v>0.156</v>
      </c>
      <c r="F10" s="157">
        <f>C10-D10</f>
        <v>1.0000000000000009E-3</v>
      </c>
      <c r="G10" s="159">
        <f>F10/D10</f>
        <v>6.2111801242236081E-3</v>
      </c>
      <c r="H10" s="157">
        <f>E10-D10</f>
        <v>-5.0000000000000044E-3</v>
      </c>
      <c r="I10" s="159">
        <f>H10/D10</f>
        <v>-3.105590062111804E-2</v>
      </c>
    </row>
    <row r="11" spans="1:10">
      <c r="B11" s="160">
        <v>0.6</v>
      </c>
      <c r="C11" s="161">
        <v>0.191</v>
      </c>
      <c r="D11" s="163">
        <v>0.18</v>
      </c>
      <c r="E11" s="162">
        <v>0.17399999999999999</v>
      </c>
      <c r="F11" s="157">
        <f>C11-D11</f>
        <v>1.100000000000001E-2</v>
      </c>
      <c r="G11" s="159">
        <f>F11/D11</f>
        <v>6.1111111111111165E-2</v>
      </c>
      <c r="H11" s="157">
        <f>E11-D11</f>
        <v>-6.0000000000000053E-3</v>
      </c>
      <c r="I11" s="159">
        <f>H11/D11</f>
        <v>-3.3333333333333368E-2</v>
      </c>
    </row>
  </sheetData>
  <mergeCells count="9">
    <mergeCell ref="F8:G8"/>
    <mergeCell ref="H8:I8"/>
    <mergeCell ref="C7:E8"/>
    <mergeCell ref="B7:B8"/>
    <mergeCell ref="B3:B4"/>
    <mergeCell ref="D3:J4"/>
    <mergeCell ref="A6:B6"/>
    <mergeCell ref="C6:H6"/>
    <mergeCell ref="F7:I7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1</xdr:col>
                <xdr:colOff>190500</xdr:colOff>
                <xdr:row>11</xdr:row>
                <xdr:rowOff>85725</xdr:rowOff>
              </from>
              <to>
                <xdr:col>3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2252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実験1-試験片寸法-計算用</vt:lpstr>
      <vt:lpstr>実験1-荷重とたわみの測定結果</vt:lpstr>
      <vt:lpstr>実験2-ひずみゲージ接続法の違い</vt:lpstr>
      <vt:lpstr>実験2-SFD図とBMD図の自動作成</vt:lpstr>
      <vt:lpstr>実験2-bたわみの測定結果と計算結果</vt:lpstr>
      <vt:lpstr>実験3</vt:lpstr>
      <vt:lpstr>実験3-SFDとBMD</vt:lpstr>
      <vt:lpstr>解析1</vt:lpstr>
      <vt:lpstr>解析2</vt:lpstr>
      <vt:lpstr>解析3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2017-11-01T05:43:42Z</dcterms:created>
  <dcterms:modified xsi:type="dcterms:W3CDTF">2017-11-13T10:48:34Z</dcterms:modified>
</cp:coreProperties>
</file>